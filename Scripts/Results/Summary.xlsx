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Analysis/Scripts/Results/"/>
    </mc:Choice>
  </mc:AlternateContent>
  <xr:revisionPtr revIDLastSave="114" documentId="11_F25DC773A252ABDACC1048A339584C225BDE58E6" xr6:coauthVersionLast="47" xr6:coauthVersionMax="47" xr10:uidLastSave="{C6B79202-C389-4F6F-9415-12841602B17A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Sheet1!$A$16:$F$16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" i="1" l="1"/>
  <c r="C27" i="1"/>
  <c r="C26" i="1"/>
  <c r="C25" i="1"/>
  <c r="C24" i="1"/>
  <c r="D28" i="1"/>
  <c r="D27" i="1"/>
  <c r="D26" i="1"/>
  <c r="D25" i="1"/>
  <c r="D24" i="1"/>
  <c r="C21" i="1"/>
  <c r="C20" i="1"/>
  <c r="D17" i="1" s="1"/>
  <c r="C19" i="1"/>
  <c r="C18" i="1"/>
  <c r="C17" i="1"/>
  <c r="D21" i="1"/>
  <c r="D20" i="1"/>
  <c r="D19" i="1"/>
  <c r="D18" i="1"/>
</calcChain>
</file>

<file path=xl/sharedStrings.xml><?xml version="1.0" encoding="utf-8"?>
<sst xmlns="http://schemas.openxmlformats.org/spreadsheetml/2006/main" count="46" uniqueCount="23">
  <si>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</si>
  <si>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</si>
  <si>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</si>
  <si>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</si>
  <si>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</si>
  <si>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</si>
  <si>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</si>
  <si>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</si>
  <si>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</si>
  <si>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</si>
  <si>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</si>
  <si>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</si>
  <si>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</si>
  <si>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</si>
  <si>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</si>
  <si>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</si>
  <si>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</si>
  <si>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CD20</t>
  </si>
  <si>
    <t>CD3</t>
  </si>
  <si>
    <t>CD45</t>
  </si>
  <si>
    <t>CD68</t>
  </si>
  <si>
    <t>sma</t>
  </si>
  <si>
    <t>baseline?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</si>
</sst>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F0D-4880-BA89-95F6FD5F614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F0D-4880-BA89-95F6FD5F614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F0D-4880-BA89-95F6FD5F614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F0D-4880-BA89-95F6FD5F614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F0D-4880-BA89-95F6FD5F614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F0D-4880-BA89-95F6FD5F614D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613-4DDE-8129-FBE8BED80C70}"/>
              </c:ext>
            </c:extLst>
          </c:dPt>
          <c:cat>
            <c:multiLvlStrRef>
              <c:f>Sheet1!$A$8:$B$14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Sheet1!$C$8:$C$14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F9-4D32-8098-A919D9E51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871-429E-9DA9-9978E5DC571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71-429E-9DA9-9978E5DC571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871-429E-9DA9-9978E5DC571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71-429E-9DA9-9978E5DC571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871-429E-9DA9-9978E5DC571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871-429E-9DA9-9978E5DC571B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6C4-4C76-9F65-494EDDE13022}"/>
              </c:ext>
            </c:extLst>
          </c:dPt>
          <c:cat>
            <c:multiLvlStrRef>
              <c:f>Sheet1!$A$8:$B$14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Sheet1!$D$8:$D$14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3-4DE8-BA6D-303B27F04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Sheet1!$C$16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Sheet1!$B$17:$B$20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f>Sheet1!$C$17:$C$20</c:f>
              <c:numCache>
                <c:formatCode>General</c:formatCode>
                <c:ptCount val="4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Sheet1!$D$16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Sheet1!$B$17:$B$20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f>Sheet1!$D$17:$D$20</c:f>
              <c:numCache>
                <c:formatCode>General</c:formatCode>
                <c:ptCount val="4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8290960726960181"/>
          <c:h val="0.179102592898123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330192659259"/>
          <c:y val="4.6635671915878196E-2"/>
          <c:w val="0.75370817374903831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Sheet1!$C$16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Sheet1!$B$24:$B$27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f>Sheet1!$C$24:$C$27</c:f>
              <c:numCache>
                <c:formatCode>General</c:formatCode>
                <c:ptCount val="4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1"/>
          <c:order val="1"/>
          <c:tx>
            <c:strRef>
              <c:f>Sheet1!$D$16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Sheet1!$B$24:$B$27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f>Sheet1!$D$24:$D$27</c:f>
              <c:numCache>
                <c:formatCode>General</c:formatCode>
                <c:ptCount val="4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782516565931957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Sheet1!$C$30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Sheet1!$B$31:$B$39</c:f>
              <c:strCache>
                <c:ptCount val="9"/>
                <c:pt idx="0">
                  <c:v>CD20</c:v>
                </c:pt>
                <c:pt idx="1">
                  <c:v>CD3</c:v>
                </c:pt>
                <c:pt idx="2">
                  <c:v>CD45</c:v>
                </c:pt>
                <c:pt idx="3">
                  <c:v>CD68</c:v>
                </c:pt>
                <c:pt idx="4">
                  <c:v>Ki67</c:v>
                </c:pt>
                <c:pt idx="5">
                  <c:v>sma</c:v>
                </c:pt>
                <c:pt idx="6">
                  <c:v>CK5</c:v>
                </c:pt>
                <c:pt idx="7">
                  <c:v>CK8-18</c:v>
                </c:pt>
                <c:pt idx="8">
                  <c:v>Pan-CK</c:v>
                </c:pt>
              </c:strCache>
            </c:strRef>
          </c:cat>
          <c:val>
            <c:numRef>
              <c:f>Sheet1!$C$31:$C$39</c:f>
              <c:numCache>
                <c:formatCode>General</c:formatCode>
                <c:ptCount val="9"/>
                <c:pt idx="0">
                  <c:v>3.7900000000000003E-2</c:v>
                </c:pt>
                <c:pt idx="1">
                  <c:v>5.0099999999999999E-2</c:v>
                </c:pt>
                <c:pt idx="2">
                  <c:v>6.93E-2</c:v>
                </c:pt>
                <c:pt idx="3">
                  <c:v>0.04</c:v>
                </c:pt>
                <c:pt idx="6">
                  <c:v>6.2E-2</c:v>
                </c:pt>
                <c:pt idx="7">
                  <c:v>0.16339999999999999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F3-4D27-8E76-E7297C68D7B9}"/>
            </c:ext>
          </c:extLst>
        </c:ser>
        <c:ser>
          <c:idx val="1"/>
          <c:order val="1"/>
          <c:tx>
            <c:strRef>
              <c:f>Sheet1!$D$30</c:f>
              <c:strCache>
                <c:ptCount val="1"/>
                <c:pt idx="0">
                  <c:v>baseline?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Sheet1!$B$31:$B$39</c:f>
              <c:strCache>
                <c:ptCount val="9"/>
                <c:pt idx="0">
                  <c:v>CD20</c:v>
                </c:pt>
                <c:pt idx="1">
                  <c:v>CD3</c:v>
                </c:pt>
                <c:pt idx="2">
                  <c:v>CD45</c:v>
                </c:pt>
                <c:pt idx="3">
                  <c:v>CD68</c:v>
                </c:pt>
                <c:pt idx="4">
                  <c:v>Ki67</c:v>
                </c:pt>
                <c:pt idx="5">
                  <c:v>sma</c:v>
                </c:pt>
                <c:pt idx="6">
                  <c:v>CK5</c:v>
                </c:pt>
                <c:pt idx="7">
                  <c:v>CK8-18</c:v>
                </c:pt>
                <c:pt idx="8">
                  <c:v>Pan-CK</c:v>
                </c:pt>
              </c:strCache>
            </c:strRef>
          </c:cat>
          <c:val>
            <c:numRef>
              <c:f>Sheet1!$D$31:$D$39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1-00F3-4D27-8E76-E7297C68D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692773428435786"/>
          <c:y val="4.5336261335475893E-2"/>
          <c:w val="0.13983860430745504"/>
          <c:h val="0.161188041383232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18287</xdr:colOff>
      <xdr:row>0</xdr:row>
      <xdr:rowOff>0</xdr:rowOff>
    </xdr:from>
    <xdr:to>
      <xdr:col>13</xdr:col>
      <xdr:colOff>27215</xdr:colOff>
      <xdr:row>22</xdr:row>
      <xdr:rowOff>54428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0C3D94-C244-4DF4-B612-1930CE3BCF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454226</xdr:colOff>
      <xdr:row>0</xdr:row>
      <xdr:rowOff>0</xdr:rowOff>
    </xdr:from>
    <xdr:to>
      <xdr:col>20</xdr:col>
      <xdr:colOff>95250</xdr:colOff>
      <xdr:row>22</xdr:row>
      <xdr:rowOff>27214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347383</xdr:colOff>
      <xdr:row>23</xdr:row>
      <xdr:rowOff>29493</xdr:rowOff>
    </xdr:from>
    <xdr:to>
      <xdr:col>14</xdr:col>
      <xdr:colOff>47999</xdr:colOff>
      <xdr:row>42</xdr:row>
      <xdr:rowOff>25587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97916</xdr:colOff>
      <xdr:row>23</xdr:row>
      <xdr:rowOff>21996</xdr:rowOff>
    </xdr:from>
    <xdr:to>
      <xdr:col>22</xdr:col>
      <xdr:colOff>341033</xdr:colOff>
      <xdr:row>39</xdr:row>
      <xdr:rowOff>145676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43</xdr:row>
      <xdr:rowOff>0</xdr:rowOff>
    </xdr:from>
    <xdr:to>
      <xdr:col>13</xdr:col>
      <xdr:colOff>313204</xdr:colOff>
      <xdr:row>61</xdr:row>
      <xdr:rowOff>182859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E0103C-35C9-494D-BDA3-B94A3179A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tabSelected="1" topLeftCell="A28" zoomScale="85" zoomScaleNormal="85" workbookViewId="0">
      <selection activeCell="D38" sqref="D38"/>
    </sheetView>
  </sheetViews>
  <sheetFormatPr defaultRowHeight="14.5" x14ac:dyDescent="0.35"/>
  <cols>
    <col min="4" max="4" width="25.81640625" bestFit="1" customWidth="1"/>
    <col min="6" max="6" width="14.363281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15</v>
      </c>
    </row>
    <row r="2" spans="1:6" x14ac:dyDescent="0.35">
      <c r="A2" t="s">
        <v>5</v>
      </c>
      <c r="B2" t="s">
        <v>9</v>
      </c>
      <c r="C2">
        <v>0.46700000000000003</v>
      </c>
      <c r="D2">
        <v>340.8</v>
      </c>
      <c r="E2">
        <v>0.12</v>
      </c>
    </row>
    <row r="3" spans="1:6" x14ac:dyDescent="0.35">
      <c r="B3" t="s">
        <v>10</v>
      </c>
      <c r="C3">
        <v>0.46300000000000002</v>
      </c>
      <c r="D3">
        <v>292.7</v>
      </c>
      <c r="E3">
        <v>0.16400000000000001</v>
      </c>
    </row>
    <row r="4" spans="1:6" x14ac:dyDescent="0.35">
      <c r="B4" t="s">
        <v>8</v>
      </c>
      <c r="C4">
        <v>0.442</v>
      </c>
      <c r="D4">
        <v>314</v>
      </c>
      <c r="E4">
        <v>0.12</v>
      </c>
    </row>
    <row r="5" spans="1:6" x14ac:dyDescent="0.35">
      <c r="B5" t="s">
        <v>7</v>
      </c>
      <c r="C5">
        <v>0.40799999999999997</v>
      </c>
      <c r="D5">
        <v>371.6</v>
      </c>
      <c r="E5">
        <v>0.111</v>
      </c>
    </row>
    <row r="6" spans="1:6" x14ac:dyDescent="0.35">
      <c r="B6" t="s">
        <v>6</v>
      </c>
      <c r="C6">
        <v>0.374</v>
      </c>
      <c r="D6">
        <v>346.6</v>
      </c>
      <c r="E6">
        <v>6.3E-2</v>
      </c>
    </row>
    <row r="7" spans="1:6" x14ac:dyDescent="0.35">
      <c r="B7" t="s">
        <v>11</v>
      </c>
      <c r="C7">
        <v>0.312</v>
      </c>
      <c r="D7">
        <v>257.7</v>
      </c>
      <c r="E7">
        <v>0.17</v>
      </c>
    </row>
    <row r="8" spans="1:6" x14ac:dyDescent="0.35">
      <c r="A8" t="s">
        <v>12</v>
      </c>
      <c r="B8" t="s">
        <v>8</v>
      </c>
      <c r="C8">
        <v>0.40100000000000002</v>
      </c>
      <c r="D8">
        <v>257.05</v>
      </c>
      <c r="E8">
        <v>-0.10199999999999999</v>
      </c>
      <c r="F8">
        <v>163</v>
      </c>
    </row>
    <row r="9" spans="1:6" x14ac:dyDescent="0.35">
      <c r="B9" t="s">
        <v>9</v>
      </c>
      <c r="C9">
        <v>0.39100000000000001</v>
      </c>
      <c r="D9">
        <v>295.01</v>
      </c>
      <c r="E9">
        <v>-0.113</v>
      </c>
      <c r="F9">
        <v>163</v>
      </c>
    </row>
    <row r="10" spans="1:6" x14ac:dyDescent="0.35">
      <c r="B10" t="s">
        <v>7</v>
      </c>
      <c r="C10">
        <v>0.379</v>
      </c>
      <c r="D10">
        <v>270.7</v>
      </c>
      <c r="E10">
        <v>-0.115</v>
      </c>
    </row>
    <row r="11" spans="1:6" x14ac:dyDescent="0.35">
      <c r="B11" t="s">
        <v>14</v>
      </c>
      <c r="C11">
        <v>0.35699999999999998</v>
      </c>
      <c r="D11">
        <v>317.12</v>
      </c>
      <c r="E11">
        <v>-0.13600000000000001</v>
      </c>
      <c r="F11">
        <v>160</v>
      </c>
    </row>
    <row r="12" spans="1:6" x14ac:dyDescent="0.35">
      <c r="B12" t="s">
        <v>10</v>
      </c>
      <c r="C12">
        <v>0.35099999999999998</v>
      </c>
      <c r="D12">
        <v>240.74</v>
      </c>
      <c r="E12">
        <v>-0.155</v>
      </c>
      <c r="F12">
        <v>158</v>
      </c>
    </row>
    <row r="13" spans="1:6" x14ac:dyDescent="0.35">
      <c r="B13" t="s">
        <v>6</v>
      </c>
      <c r="C13">
        <v>0.318</v>
      </c>
      <c r="D13">
        <v>298.39999999999998</v>
      </c>
      <c r="E13">
        <v>8.7999999999999995E-2</v>
      </c>
      <c r="F13">
        <v>117</v>
      </c>
    </row>
    <row r="14" spans="1:6" x14ac:dyDescent="0.35">
      <c r="B14" t="s">
        <v>13</v>
      </c>
      <c r="C14" s="1">
        <v>0.22009999999999999</v>
      </c>
      <c r="D14">
        <v>253.4</v>
      </c>
      <c r="E14">
        <v>-0.13700000000000001</v>
      </c>
    </row>
    <row r="16" spans="1:6" x14ac:dyDescent="0.35">
      <c r="C16" t="s">
        <v>5</v>
      </c>
      <c r="D16" t="s">
        <v>12</v>
      </c>
    </row>
    <row r="17" spans="2:4" x14ac:dyDescent="0.35">
      <c r="B17" t="s">
        <v>6</v>
      </c>
      <c r="C17">
        <f>C6</f>
        <v>0.374</v>
      </c>
      <c r="D17">
        <f>C13</f>
        <v>0.318</v>
      </c>
    </row>
    <row r="18" spans="2:4" x14ac:dyDescent="0.35">
      <c r="B18" t="s">
        <v>7</v>
      </c>
      <c r="C18">
        <f>C5</f>
        <v>0.40799999999999997</v>
      </c>
      <c r="D18">
        <f>C10</f>
        <v>0.379</v>
      </c>
    </row>
    <row r="19" spans="2:4" x14ac:dyDescent="0.35">
      <c r="B19" t="s">
        <v>8</v>
      </c>
      <c r="C19">
        <f>C4</f>
        <v>0.442</v>
      </c>
      <c r="D19">
        <f>C8</f>
        <v>0.40100000000000002</v>
      </c>
    </row>
    <row r="20" spans="2:4" x14ac:dyDescent="0.35">
      <c r="B20" t="s">
        <v>9</v>
      </c>
      <c r="C20">
        <f>C2</f>
        <v>0.46700000000000003</v>
      </c>
      <c r="D20">
        <f>C9</f>
        <v>0.39100000000000001</v>
      </c>
    </row>
    <row r="21" spans="2:4" x14ac:dyDescent="0.35">
      <c r="B21" t="s">
        <v>10</v>
      </c>
      <c r="C21">
        <f>C3</f>
        <v>0.46300000000000002</v>
      </c>
      <c r="D21">
        <f>C12</f>
        <v>0.35099999999999998</v>
      </c>
    </row>
    <row r="23" spans="2:4" x14ac:dyDescent="0.35">
      <c r="C23" t="s">
        <v>5</v>
      </c>
      <c r="D23" t="s">
        <v>12</v>
      </c>
    </row>
    <row r="24" spans="2:4" x14ac:dyDescent="0.35">
      <c r="B24" t="s">
        <v>6</v>
      </c>
      <c r="C24">
        <f>D6</f>
        <v>346.6</v>
      </c>
      <c r="D24">
        <f>D13</f>
        <v>298.39999999999998</v>
      </c>
    </row>
    <row r="25" spans="2:4" x14ac:dyDescent="0.35">
      <c r="B25" t="s">
        <v>7</v>
      </c>
      <c r="C25">
        <f>D5</f>
        <v>371.6</v>
      </c>
      <c r="D25">
        <f>D10</f>
        <v>270.7</v>
      </c>
    </row>
    <row r="26" spans="2:4" x14ac:dyDescent="0.35">
      <c r="B26" t="s">
        <v>8</v>
      </c>
      <c r="C26">
        <f>D4</f>
        <v>314</v>
      </c>
      <c r="D26">
        <f>D8</f>
        <v>257.05</v>
      </c>
    </row>
    <row r="27" spans="2:4" x14ac:dyDescent="0.35">
      <c r="B27" t="s">
        <v>9</v>
      </c>
      <c r="C27">
        <f>D2</f>
        <v>340.8</v>
      </c>
      <c r="D27">
        <f>D9</f>
        <v>295.01</v>
      </c>
    </row>
    <row r="28" spans="2:4" x14ac:dyDescent="0.35">
      <c r="B28" t="s">
        <v>10</v>
      </c>
      <c r="C28">
        <f>D3</f>
        <v>292.7</v>
      </c>
      <c r="D28">
        <f>D12</f>
        <v>240.74</v>
      </c>
    </row>
    <row r="30" spans="2:4" x14ac:dyDescent="0.35">
      <c r="C30" t="s">
        <v>16</v>
      </c>
      <c r="D30" t="s">
        <v>22</v>
      </c>
    </row>
    <row r="31" spans="2:4" x14ac:dyDescent="0.35">
      <c r="B31" t="s">
        <v>17</v>
      </c>
      <c r="C31">
        <v>3.7900000000000003E-2</v>
      </c>
    </row>
    <row r="32" spans="2:4" x14ac:dyDescent="0.35">
      <c r="B32" t="s">
        <v>18</v>
      </c>
      <c r="C32">
        <v>5.0099999999999999E-2</v>
      </c>
    </row>
    <row r="33" spans="2:3" x14ac:dyDescent="0.35">
      <c r="B33" t="s">
        <v>19</v>
      </c>
      <c r="C33">
        <v>6.93E-2</v>
      </c>
    </row>
    <row r="34" spans="2:3" x14ac:dyDescent="0.35">
      <c r="B34" t="s">
        <v>20</v>
      </c>
      <c r="C34">
        <v>0.04</v>
      </c>
    </row>
    <row r="35" spans="2:3" x14ac:dyDescent="0.35">
      <c r="B35" t="s">
        <v>9</v>
      </c>
    </row>
    <row r="36" spans="2:3" x14ac:dyDescent="0.35">
      <c r="B36" t="s">
        <v>21</v>
      </c>
    </row>
    <row r="37" spans="2:3" x14ac:dyDescent="0.35">
      <c r="B37" t="s">
        <v>7</v>
      </c>
      <c r="C37">
        <v>6.2E-2</v>
      </c>
    </row>
    <row r="38" spans="2:3" x14ac:dyDescent="0.35">
      <c r="B38" t="s">
        <v>8</v>
      </c>
      <c r="C38">
        <v>0.16339999999999999</v>
      </c>
    </row>
    <row r="39" spans="2:3" x14ac:dyDescent="0.35">
      <c r="B39" t="s">
        <v>6</v>
      </c>
    </row>
  </sheetData>
  <autoFilter ref="A16:F16" xr:uid="{00000000-0001-0000-0000-000000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2025-12-17T10:56:11Z</dcterms:modified>
</cp:coreProperties>
</file>
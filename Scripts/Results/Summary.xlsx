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biu365-my.sharepoint.com/personal/samoily_biu_ac_il/Documents/Academic/Postdoc/Analysis/Scripts/Results/"/>
    </mc:Choice>
  </mc:AlternateContent>
  <xr:revisionPtr revIDLastSave="71" documentId="11_F25DC773A252ABDACC1048A339584C225BDE58E6" xr6:coauthVersionLast="47" xr6:coauthVersionMax="47" xr10:uidLastSave="{4F79B5F3-7321-414C-BCE2-4AB7A54EE9E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" l="1"/>
  <c r="D25" i="1"/>
  <c r="C26" i="1"/>
  <c r="D26" i="1"/>
  <c r="C27" i="1"/>
  <c r="D27" i="1"/>
  <c r="C28" i="1"/>
  <c r="D28" i="1"/>
  <c r="D24" i="1"/>
  <c r="C24" i="1"/>
  <c r="D18" i="1"/>
  <c r="C19" i="1"/>
  <c r="C18" i="1"/>
  <c r="D19" i="1"/>
  <c r="C20" i="1"/>
  <c r="D20" i="1"/>
  <c r="C21" i="1"/>
  <c r="D21" i="1"/>
  <c r="D17" i="1"/>
  <c r="C17" i="1"/>
</calcChain>
</file>

<file path=xl/sharedStrings.xml><?xml version="1.0" encoding="utf-8"?>
<sst xmlns="http://schemas.openxmlformats.org/spreadsheetml/2006/main" count="37" uniqueCount="17">
  <si>
    <t>Dataset</t>
  </si>
  <si>
    <t>Marker</t>
  </si>
  <si>
    <t>RMSE</t>
  </si>
  <si>
    <t>Corr</t>
  </si>
  <si>
    <t>FID</t>
  </si>
  <si>
    <t>Danenberg</t>
  </si>
  <si>
    <t>Pan-CK</t>
  </si>
  <si>
    <t>CK5</t>
  </si>
  <si>
    <t>CK8-18</t>
  </si>
  <si>
    <t>Ki67</t>
  </si>
  <si>
    <t>HER2</t>
  </si>
  <si>
    <t>ERa</t>
  </si>
  <si>
    <t>Jackson</t>
  </si>
  <si>
    <t>H3K27me</t>
  </si>
  <si>
    <t>pHH3</t>
  </si>
  <si>
    <t>Train time (min)</t>
  </si>
  <si>
    <t>J2D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</si>
</sst>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13-4DDE-8129-FBE8BED80C7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13-4DDE-8129-FBE8BED80C7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13-4DDE-8129-FBE8BED80C7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13-4DDE-8129-FBE8BED80C7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13-4DDE-8129-FBE8BED80C7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613-4DDE-8129-FBE8BED80C70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13-4DDE-8129-FBE8BED80C70}"/>
              </c:ext>
            </c:extLst>
          </c:dPt>
          <c:cat>
            <c:multiLvlStrRef>
              <c:f>Sheet1!$A$2:$B$14</c:f>
              <c:multiLvlStrCache>
                <c:ptCount val="13"/>
                <c:lvl>
                  <c:pt idx="0">
                    <c:v>Pan-CK</c:v>
                  </c:pt>
                  <c:pt idx="1">
                    <c:v>CK5</c:v>
                  </c:pt>
                  <c:pt idx="2">
                    <c:v>CK8-18</c:v>
                  </c:pt>
                  <c:pt idx="3">
                    <c:v>Ki67</c:v>
                  </c:pt>
                  <c:pt idx="4">
                    <c:v>HER2</c:v>
                  </c:pt>
                  <c:pt idx="5">
                    <c:v>ERa</c:v>
                  </c:pt>
                  <c:pt idx="6">
                    <c:v>Pan-CK</c:v>
                  </c:pt>
                  <c:pt idx="7">
                    <c:v>CK5</c:v>
                  </c:pt>
                  <c:pt idx="8">
                    <c:v>CK8-18</c:v>
                  </c:pt>
                  <c:pt idx="9">
                    <c:v>Ki67</c:v>
                  </c:pt>
                  <c:pt idx="10">
                    <c:v>HER2</c:v>
                  </c:pt>
                  <c:pt idx="11">
                    <c:v>H3K27me</c:v>
                  </c:pt>
                  <c:pt idx="12">
                    <c:v>pHH3</c:v>
                  </c:pt>
                </c:lvl>
                <c:lvl>
                  <c:pt idx="0">
                    <c:v>Danenberg</c:v>
                  </c:pt>
                  <c:pt idx="6">
                    <c:v>Jackson</c:v>
                  </c:pt>
                </c:lvl>
              </c:multiLvlStrCache>
            </c:multiLvl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0.374</c:v>
                </c:pt>
                <c:pt idx="1">
                  <c:v>0.40799999999999997</c:v>
                </c:pt>
                <c:pt idx="2">
                  <c:v>0.442</c:v>
                </c:pt>
                <c:pt idx="3">
                  <c:v>0.46700000000000003</c:v>
                </c:pt>
                <c:pt idx="4">
                  <c:v>0.46300000000000002</c:v>
                </c:pt>
                <c:pt idx="5">
                  <c:v>0.312</c:v>
                </c:pt>
                <c:pt idx="6">
                  <c:v>0.318</c:v>
                </c:pt>
                <c:pt idx="7">
                  <c:v>0.379</c:v>
                </c:pt>
                <c:pt idx="8">
                  <c:v>0.40100000000000002</c:v>
                </c:pt>
                <c:pt idx="9">
                  <c:v>0.39100000000000001</c:v>
                </c:pt>
                <c:pt idx="10">
                  <c:v>0.35099999999999998</c:v>
                </c:pt>
                <c:pt idx="11">
                  <c:v>0.251</c:v>
                </c:pt>
                <c:pt idx="12">
                  <c:v>0.35699999999999998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9-4D32-8098-A919D9E51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638511"/>
        <c:axId val="457638927"/>
      </c:barChart>
      <c:catAx>
        <c:axId val="45763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7638927"/>
        <c:crosses val="autoZero"/>
        <c:auto val="1"/>
        <c:lblAlgn val="ctr"/>
        <c:lblOffset val="100"/>
        <c:noMultiLvlLbl val="0"/>
      </c:catAx>
      <c:valAx>
        <c:axId val="4576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763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C4-4C76-9F65-494EDDE1302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6C4-4C76-9F65-494EDDE1302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6C4-4C76-9F65-494EDDE1302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6C4-4C76-9F65-494EDDE1302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6C4-4C76-9F65-494EDDE1302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6C4-4C76-9F65-494EDDE1302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6C4-4C76-9F65-494EDDE13022}"/>
              </c:ext>
            </c:extLst>
          </c:dPt>
          <c:cat>
            <c:multiLvlStrRef>
              <c:f>Sheet1!$A$2:$B$14</c:f>
              <c:multiLvlStrCache>
                <c:ptCount val="13"/>
                <c:lvl>
                  <c:pt idx="0">
                    <c:v>Pan-CK</c:v>
                  </c:pt>
                  <c:pt idx="1">
                    <c:v>CK5</c:v>
                  </c:pt>
                  <c:pt idx="2">
                    <c:v>CK8-18</c:v>
                  </c:pt>
                  <c:pt idx="3">
                    <c:v>Ki67</c:v>
                  </c:pt>
                  <c:pt idx="4">
                    <c:v>HER2</c:v>
                  </c:pt>
                  <c:pt idx="5">
                    <c:v>ERa</c:v>
                  </c:pt>
                  <c:pt idx="6">
                    <c:v>Pan-CK</c:v>
                  </c:pt>
                  <c:pt idx="7">
                    <c:v>CK5</c:v>
                  </c:pt>
                  <c:pt idx="8">
                    <c:v>CK8-18</c:v>
                  </c:pt>
                  <c:pt idx="9">
                    <c:v>Ki67</c:v>
                  </c:pt>
                  <c:pt idx="10">
                    <c:v>HER2</c:v>
                  </c:pt>
                  <c:pt idx="11">
                    <c:v>H3K27me</c:v>
                  </c:pt>
                  <c:pt idx="12">
                    <c:v>pHH3</c:v>
                  </c:pt>
                </c:lvl>
                <c:lvl>
                  <c:pt idx="0">
                    <c:v>Danenberg</c:v>
                  </c:pt>
                  <c:pt idx="6">
                    <c:v>Jackson</c:v>
                  </c:pt>
                </c:lvl>
              </c:multiLvlStrCache>
            </c:multiLvlStrRef>
          </c:cat>
          <c:val>
            <c:numRef>
              <c:f>Sheet1!$D$2:$D$14</c:f>
              <c:numCache>
                <c:formatCode>General</c:formatCode>
                <c:ptCount val="13"/>
                <c:pt idx="0">
                  <c:v>346.6</c:v>
                </c:pt>
                <c:pt idx="1">
                  <c:v>371.6</c:v>
                </c:pt>
                <c:pt idx="2">
                  <c:v>314</c:v>
                </c:pt>
                <c:pt idx="3">
                  <c:v>340.8</c:v>
                </c:pt>
                <c:pt idx="4">
                  <c:v>292.7</c:v>
                </c:pt>
                <c:pt idx="5">
                  <c:v>257.7</c:v>
                </c:pt>
                <c:pt idx="6">
                  <c:v>298.39999999999998</c:v>
                </c:pt>
                <c:pt idx="7">
                  <c:v>270.7</c:v>
                </c:pt>
                <c:pt idx="8">
                  <c:v>257.05</c:v>
                </c:pt>
                <c:pt idx="9">
                  <c:v>295.01</c:v>
                </c:pt>
                <c:pt idx="10">
                  <c:v>240.74</c:v>
                </c:pt>
                <c:pt idx="11">
                  <c:v>176.3</c:v>
                </c:pt>
                <c:pt idx="12">
                  <c:v>317.12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3-4DE8-BA6D-303B27F04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638511"/>
        <c:axId val="457638927"/>
      </c:barChart>
      <c:catAx>
        <c:axId val="45763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7638927"/>
        <c:crosses val="autoZero"/>
        <c:auto val="1"/>
        <c:lblAlgn val="ctr"/>
        <c:lblOffset val="100"/>
        <c:noMultiLvlLbl val="0"/>
      </c:catAx>
      <c:valAx>
        <c:axId val="4576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763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Sheet1!$C$16</c:f>
              <c:strCache>
                <c:ptCount val="1"/>
                <c:pt idx="0">
                  <c:v>Danenberg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Sheet1!$B$17:$B$21</c:f>
              <c:strCache>
                <c:ptCount val="5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  <c:pt idx="4">
                  <c:v>HER2</c:v>
                </c:pt>
              </c:strCache>
            </c:strRef>
          </c:cat>
          <c:val>
            <c:numRef>
              <c:f>Sheet1!$C$17:$C$21</c:f>
              <c:numCache>
                <c:formatCode>General</c:formatCode>
                <c:ptCount val="5"/>
                <c:pt idx="0">
                  <c:v>0.374</c:v>
                </c:pt>
                <c:pt idx="1">
                  <c:v>0.40799999999999997</c:v>
                </c:pt>
                <c:pt idx="2">
                  <c:v>0.442</c:v>
                </c:pt>
                <c:pt idx="3">
                  <c:v>0.46700000000000003</c:v>
                </c:pt>
                <c:pt idx="4">
                  <c:v>0.46300000000000002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A-4D71-BFFC-B028976BA26F}"/>
            </c:ext>
          </c:extLst>
        </c:ser>
        <c:ser>
          <c:idx val="1"/>
          <c:order val="1"/>
          <c:tx>
            <c:strRef>
              <c:f>Sheet1!$D$16</c:f>
              <c:strCache>
                <c:ptCount val="1"/>
                <c:pt idx="0">
                  <c:v>Jackson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Sheet1!$B$17:$B$21</c:f>
              <c:strCache>
                <c:ptCount val="5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  <c:pt idx="4">
                  <c:v>HER2</c:v>
                </c:pt>
              </c:strCache>
            </c:strRef>
          </c:cat>
          <c:val>
            <c:numRef>
              <c:f>Sheet1!$D$17:$D$21</c:f>
              <c:numCache>
                <c:formatCode>General</c:formatCode>
                <c:ptCount val="5"/>
                <c:pt idx="0">
                  <c:v>0.318</c:v>
                </c:pt>
                <c:pt idx="1">
                  <c:v>0.379</c:v>
                </c:pt>
                <c:pt idx="2">
                  <c:v>0.40100000000000002</c:v>
                </c:pt>
                <c:pt idx="3">
                  <c:v>0.39100000000000001</c:v>
                </c:pt>
                <c:pt idx="4">
                  <c:v>0.35099999999999998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A-4D71-BFFC-B028976BA26F}"/>
            </c:ext>
          </c:extLst>
        </c:ser>
        <c:ser>
          <c:idx val="2"/>
          <c:order val="2"/>
          <c:tx>
            <c:strRef>
              <c:f>Sheet1!$E$16</c:f>
              <c:strCache>
                <c:ptCount val="1"/>
                <c:pt idx="0">
                  <c:v>J2D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Sheet1!$B$17:$B$21</c:f>
              <c:strCache>
                <c:ptCount val="5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  <c:pt idx="4">
                  <c:v>HER2</c:v>
                </c:pt>
              </c:strCache>
            </c:strRef>
          </c:cat>
          <c:val>
            <c:numRef>
              <c:f>Sheet1!$E$17:$E$21</c:f>
              <c:numCache>
                <c:formatCode>General</c:formatCode>
                <c:ptCount val="5"/>
                <c:pt idx="4">
                  <c:v>0.39900000000000002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6-4FBF-8621-F8348910A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</c:barChart>
      <c:catAx>
        <c:axId val="45003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943"/>
        <c:crosses val="autoZero"/>
        <c:auto val="1"/>
        <c:lblAlgn val="ctr"/>
        <c:lblOffset val="100"/>
        <c:noMultiLvlLbl val="0"/>
      </c:catAx>
      <c:valAx>
        <c:axId val="45003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Sheet1!$C$16</c:f>
              <c:strCache>
                <c:ptCount val="1"/>
                <c:pt idx="0">
                  <c:v>Danenberg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Sheet1!$B$24:$B$28</c:f>
              <c:strCache>
                <c:ptCount val="5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  <c:pt idx="4">
                  <c:v>HER2</c:v>
                </c:pt>
              </c:strCache>
            </c:strRef>
          </c:cat>
          <c:val>
            <c:numRef>
              <c:f>Sheet1!$C$24:$C$28</c:f>
              <c:numCache>
                <c:formatCode>General</c:formatCode>
                <c:ptCount val="5"/>
                <c:pt idx="0">
                  <c:v>346.6</c:v>
                </c:pt>
                <c:pt idx="1">
                  <c:v>371.6</c:v>
                </c:pt>
                <c:pt idx="2">
                  <c:v>314</c:v>
                </c:pt>
                <c:pt idx="3">
                  <c:v>340.8</c:v>
                </c:pt>
                <c:pt idx="4">
                  <c:v>292.7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B-4E06-A029-48B27FF534D5}"/>
            </c:ext>
          </c:extLst>
        </c:ser>
        <c:ser>
          <c:idx val="1"/>
          <c:order val="1"/>
          <c:tx>
            <c:strRef>
              <c:f>Sheet1!$D$16</c:f>
              <c:strCache>
                <c:ptCount val="1"/>
                <c:pt idx="0">
                  <c:v>Jackson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Sheet1!$B$24:$B$28</c:f>
              <c:strCache>
                <c:ptCount val="5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  <c:pt idx="4">
                  <c:v>HER2</c:v>
                </c:pt>
              </c:strCache>
            </c:strRef>
          </c:cat>
          <c:val>
            <c:numRef>
              <c:f>Sheet1!$D$24:$D$28</c:f>
              <c:numCache>
                <c:formatCode>General</c:formatCode>
                <c:ptCount val="5"/>
                <c:pt idx="0">
                  <c:v>298.39999999999998</c:v>
                </c:pt>
                <c:pt idx="1">
                  <c:v>270.7</c:v>
                </c:pt>
                <c:pt idx="2">
                  <c:v>257.05</c:v>
                </c:pt>
                <c:pt idx="3">
                  <c:v>295.01</c:v>
                </c:pt>
                <c:pt idx="4">
                  <c:v>240.74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B-4E06-A029-48B27FF534D5}"/>
            </c:ext>
          </c:extLst>
        </c:ser>
        <c:ser>
          <c:idx val="2"/>
          <c:order val="2"/>
          <c:tx>
            <c:strRef>
              <c:f>Sheet1!$E$16</c:f>
              <c:strCache>
                <c:ptCount val="1"/>
                <c:pt idx="0">
                  <c:v>J2D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Sheet1!$B$24:$B$28</c:f>
              <c:strCache>
                <c:ptCount val="5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  <c:pt idx="4">
                  <c:v>HER2</c:v>
                </c:pt>
              </c:strCache>
            </c:strRef>
          </c:cat>
          <c:val>
            <c:numRef>
              <c:f>Sheet1!$E$24:$E$28</c:f>
              <c:numCache>
                <c:formatCode>General</c:formatCode>
                <c:ptCount val="5"/>
                <c:pt idx="4">
                  <c:v>250.2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67-4F56-9076-543318E0F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</c:barChart>
      <c:catAx>
        <c:axId val="45003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943"/>
        <c:crosses val="autoZero"/>
        <c:auto val="1"/>
        <c:lblAlgn val="ctr"/>
        <c:lblOffset val="100"/>
        <c:noMultiLvlLbl val="0"/>
      </c:catAx>
      <c:valAx>
        <c:axId val="45003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18286</xdr:colOff>
      <xdr:row>0</xdr:row>
      <xdr:rowOff>0</xdr:rowOff>
    </xdr:from>
    <xdr:to>
      <xdr:col>13</xdr:col>
      <xdr:colOff>320446</xdr:colOff>
      <xdr:row>16</xdr:row>
      <xdr:rowOff>166456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0C3D94-C244-4DF4-B612-1930CE3BC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454226</xdr:colOff>
      <xdr:row>0</xdr:row>
      <xdr:rowOff>0</xdr:rowOff>
    </xdr:from>
    <xdr:to>
      <xdr:col>21</xdr:col>
      <xdr:colOff>150969</xdr:colOff>
      <xdr:row>16</xdr:row>
      <xdr:rowOff>167487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EA3D7A-0EC6-4400-BC4B-F38051B4F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5304</xdr:colOff>
      <xdr:row>17</xdr:row>
      <xdr:rowOff>71997</xdr:rowOff>
    </xdr:from>
    <xdr:to>
      <xdr:col>13</xdr:col>
      <xdr:colOff>480372</xdr:colOff>
      <xdr:row>32</xdr:row>
      <xdr:rowOff>57960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571D5B-01A5-481C-853A-E2333DEDE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445325</xdr:colOff>
      <xdr:row>17</xdr:row>
      <xdr:rowOff>41233</xdr:rowOff>
    </xdr:from>
    <xdr:to>
      <xdr:col>21</xdr:col>
      <xdr:colOff>146239</xdr:colOff>
      <xdr:row>32</xdr:row>
      <xdr:rowOff>32926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0373EA-76CE-4C13-98C1-F77BA2D8B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E14" zoomScale="115" zoomScaleNormal="115" workbookViewId="0">
      <selection activeCell="N17" sqref="N17"/>
    </sheetView>
  </sheetViews>
  <sheetFormatPr defaultRowHeight="14.5" x14ac:dyDescent="0.35"/>
  <cols>
    <col min="6" max="6" width="14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15</v>
      </c>
    </row>
    <row r="2" spans="1:6" x14ac:dyDescent="0.35">
      <c r="A2" t="s">
        <v>5</v>
      </c>
      <c r="B2" t="s">
        <v>6</v>
      </c>
      <c r="C2">
        <v>0.374</v>
      </c>
      <c r="D2">
        <v>346.6</v>
      </c>
      <c r="E2">
        <v>6.3E-2</v>
      </c>
    </row>
    <row r="3" spans="1:6" x14ac:dyDescent="0.35">
      <c r="B3" t="s">
        <v>7</v>
      </c>
      <c r="C3">
        <v>0.40799999999999997</v>
      </c>
      <c r="D3">
        <v>371.6</v>
      </c>
      <c r="E3">
        <v>0.111</v>
      </c>
    </row>
    <row r="4" spans="1:6" x14ac:dyDescent="0.35">
      <c r="B4" t="s">
        <v>8</v>
      </c>
      <c r="C4">
        <v>0.442</v>
      </c>
      <c r="D4">
        <v>314</v>
      </c>
      <c r="E4">
        <v>0.12</v>
      </c>
    </row>
    <row r="5" spans="1:6" x14ac:dyDescent="0.35">
      <c r="B5" t="s">
        <v>9</v>
      </c>
      <c r="C5">
        <v>0.46700000000000003</v>
      </c>
      <c r="D5">
        <v>340.8</v>
      </c>
      <c r="E5">
        <v>0.12</v>
      </c>
    </row>
    <row r="6" spans="1:6" x14ac:dyDescent="0.35">
      <c r="B6" t="s">
        <v>10</v>
      </c>
      <c r="C6">
        <v>0.46300000000000002</v>
      </c>
      <c r="D6">
        <v>292.7</v>
      </c>
      <c r="E6">
        <v>0.16400000000000001</v>
      </c>
    </row>
    <row r="7" spans="1:6" x14ac:dyDescent="0.35">
      <c r="B7" t="s">
        <v>11</v>
      </c>
      <c r="C7">
        <v>0.312</v>
      </c>
      <c r="D7">
        <v>257.7</v>
      </c>
      <c r="E7">
        <v>0.17</v>
      </c>
    </row>
    <row r="8" spans="1:6" x14ac:dyDescent="0.35">
      <c r="A8" t="s">
        <v>12</v>
      </c>
      <c r="B8" t="s">
        <v>6</v>
      </c>
      <c r="C8">
        <v>0.318</v>
      </c>
      <c r="D8">
        <v>298.39999999999998</v>
      </c>
      <c r="E8">
        <v>8.7999999999999995E-2</v>
      </c>
      <c r="F8">
        <v>117</v>
      </c>
    </row>
    <row r="9" spans="1:6" x14ac:dyDescent="0.35">
      <c r="B9" t="s">
        <v>7</v>
      </c>
      <c r="C9">
        <v>0.379</v>
      </c>
      <c r="D9">
        <v>270.7</v>
      </c>
      <c r="E9">
        <v>-0.115</v>
      </c>
    </row>
    <row r="10" spans="1:6" x14ac:dyDescent="0.35">
      <c r="B10" t="s">
        <v>8</v>
      </c>
      <c r="C10">
        <v>0.40100000000000002</v>
      </c>
      <c r="D10">
        <v>257.05</v>
      </c>
      <c r="E10">
        <v>-0.10199999999999999</v>
      </c>
      <c r="F10">
        <v>163</v>
      </c>
    </row>
    <row r="11" spans="1:6" x14ac:dyDescent="0.35">
      <c r="B11" t="s">
        <v>9</v>
      </c>
      <c r="C11">
        <v>0.39100000000000001</v>
      </c>
      <c r="D11">
        <v>295.01</v>
      </c>
      <c r="E11">
        <v>-0.113</v>
      </c>
      <c r="F11">
        <v>163</v>
      </c>
    </row>
    <row r="12" spans="1:6" x14ac:dyDescent="0.35">
      <c r="B12" t="s">
        <v>10</v>
      </c>
      <c r="C12">
        <v>0.35099999999999998</v>
      </c>
      <c r="D12">
        <v>240.74</v>
      </c>
      <c r="E12">
        <v>-0.155</v>
      </c>
      <c r="F12">
        <v>158</v>
      </c>
    </row>
    <row r="13" spans="1:6" x14ac:dyDescent="0.35">
      <c r="B13" t="s">
        <v>13</v>
      </c>
      <c r="C13">
        <v>0.251</v>
      </c>
      <c r="D13">
        <v>176.3</v>
      </c>
      <c r="E13">
        <v>0.19600000000000001</v>
      </c>
    </row>
    <row r="14" spans="1:6" x14ac:dyDescent="0.35">
      <c r="B14" t="s">
        <v>14</v>
      </c>
      <c r="C14">
        <v>0.35699999999999998</v>
      </c>
      <c r="D14">
        <v>317.12</v>
      </c>
      <c r="E14">
        <v>-0.13600000000000001</v>
      </c>
      <c r="F14">
        <v>160</v>
      </c>
    </row>
    <row r="16" spans="1:6" x14ac:dyDescent="0.35">
      <c r="C16" t="s">
        <v>5</v>
      </c>
      <c r="D16" t="s">
        <v>12</v>
      </c>
      <c r="E16" t="s">
        <v>16</v>
      </c>
    </row>
    <row r="17" spans="2:5" x14ac:dyDescent="0.35">
      <c r="B17" t="s">
        <v>6</v>
      </c>
      <c r="C17">
        <f>C2</f>
        <v>0.374</v>
      </c>
      <c r="D17">
        <f>C8</f>
        <v>0.318</v>
      </c>
    </row>
    <row r="18" spans="2:5" x14ac:dyDescent="0.35">
      <c r="B18" t="s">
        <v>7</v>
      </c>
      <c r="C18">
        <f>C3</f>
        <v>0.40799999999999997</v>
      </c>
      <c r="D18">
        <f>C9</f>
        <v>0.379</v>
      </c>
    </row>
    <row r="19" spans="2:5" x14ac:dyDescent="0.35">
      <c r="B19" t="s">
        <v>8</v>
      </c>
      <c r="C19">
        <f>C4</f>
        <v>0.442</v>
      </c>
      <c r="D19">
        <f>C10</f>
        <v>0.40100000000000002</v>
      </c>
    </row>
    <row r="20" spans="2:5" x14ac:dyDescent="0.35">
      <c r="B20" t="s">
        <v>9</v>
      </c>
      <c r="C20">
        <f>C5</f>
        <v>0.46700000000000003</v>
      </c>
      <c r="D20">
        <f>C11</f>
        <v>0.39100000000000001</v>
      </c>
    </row>
    <row r="21" spans="2:5" x14ac:dyDescent="0.35">
      <c r="B21" t="s">
        <v>10</v>
      </c>
      <c r="C21">
        <f>C6</f>
        <v>0.46300000000000002</v>
      </c>
      <c r="D21">
        <f>C12</f>
        <v>0.35099999999999998</v>
      </c>
      <c r="E21">
        <v>0.39900000000000002</v>
      </c>
    </row>
    <row r="23" spans="2:5" x14ac:dyDescent="0.35">
      <c r="C23" t="s">
        <v>5</v>
      </c>
      <c r="D23" t="s">
        <v>12</v>
      </c>
      <c r="E23" t="s">
        <v>16</v>
      </c>
    </row>
    <row r="24" spans="2:5" x14ac:dyDescent="0.35">
      <c r="B24" t="s">
        <v>6</v>
      </c>
      <c r="C24">
        <f>D2</f>
        <v>346.6</v>
      </c>
      <c r="D24">
        <f>D8</f>
        <v>298.39999999999998</v>
      </c>
    </row>
    <row r="25" spans="2:5" x14ac:dyDescent="0.35">
      <c r="B25" t="s">
        <v>7</v>
      </c>
      <c r="C25">
        <f t="shared" ref="C25:C28" si="0">D3</f>
        <v>371.6</v>
      </c>
      <c r="D25">
        <f t="shared" ref="D25:D28" si="1">D9</f>
        <v>270.7</v>
      </c>
    </row>
    <row r="26" spans="2:5" x14ac:dyDescent="0.35">
      <c r="B26" t="s">
        <v>8</v>
      </c>
      <c r="C26">
        <f t="shared" si="0"/>
        <v>314</v>
      </c>
      <c r="D26">
        <f t="shared" si="1"/>
        <v>257.05</v>
      </c>
    </row>
    <row r="27" spans="2:5" x14ac:dyDescent="0.35">
      <c r="B27" t="s">
        <v>9</v>
      </c>
      <c r="C27">
        <f t="shared" si="0"/>
        <v>340.8</v>
      </c>
      <c r="D27">
        <f t="shared" si="1"/>
        <v>295.01</v>
      </c>
    </row>
    <row r="28" spans="2:5" x14ac:dyDescent="0.35">
      <c r="B28" t="s">
        <v>10</v>
      </c>
      <c r="C28">
        <f t="shared" si="0"/>
        <v>292.7</v>
      </c>
      <c r="D28">
        <f t="shared" si="1"/>
        <v>240.74</v>
      </c>
      <c r="E28">
        <v>250.2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</dc:creator>
  <cp:lastModifiedBy>samoilov yuval</cp:lastModifiedBy>
  <dcterms:created xsi:type="dcterms:W3CDTF">2015-06-05T18:17:20Z</dcterms:created>
  <dcterms:modified xsi:type="dcterms:W3CDTF">2025-12-14T15:19:12Z</dcterms:modified>
</cp:coreProperties>
</file>
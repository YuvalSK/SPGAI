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2.xml" ContentType="application/vnd.openxmlformats-officedocument.drawingml.chartshape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biu365-my.sharepoint.com/personal/samoily_biu_ac_il/Documents/Academic/Postdoc/Multiplexed analyses/IMC/Results/"/>
    </mc:Choice>
  </mc:AlternateContent>
  <xr:revisionPtr revIDLastSave="166" documentId="11_F25DC773A252ABDACC1048A339584C225BDE58E6" xr6:coauthVersionLast="47" xr6:coauthVersionMax="47" xr10:uidLastSave="{CE0F97BF-9324-472F-B68F-1A3F32CB654E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Sheet1!$A$45:$G$45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90" i="1" l="1"/>
  <c r="D88" i="1"/>
  <c r="F35" i="1"/>
  <c r="E35" i="1"/>
  <c r="C94" i="1"/>
  <c r="C95" i="1"/>
  <c r="C96" i="1"/>
  <c r="C97" i="1"/>
  <c r="C98" i="1"/>
  <c r="C99" i="1"/>
  <c r="C100" i="1"/>
  <c r="C101" i="1"/>
  <c r="C102" i="1"/>
  <c r="D79" i="1"/>
  <c r="D80" i="1"/>
  <c r="D81" i="1"/>
  <c r="D82" i="1"/>
  <c r="D83" i="1"/>
  <c r="D84" i="1"/>
  <c r="D85" i="1"/>
  <c r="D86" i="1"/>
  <c r="D87" i="1"/>
  <c r="D78" i="1"/>
  <c r="D103" i="1"/>
  <c r="D104" i="1"/>
  <c r="F42" i="1"/>
  <c r="E43" i="1"/>
  <c r="E42" i="1"/>
  <c r="D42" i="1"/>
  <c r="D43" i="1"/>
  <c r="C56" i="1"/>
  <c r="C68" i="1" s="1"/>
  <c r="C104" i="1" s="1"/>
  <c r="C54" i="1"/>
  <c r="C66" i="1" s="1"/>
  <c r="C103" i="1" s="1"/>
  <c r="D59" i="1"/>
  <c r="D95" i="1" s="1"/>
  <c r="D60" i="1"/>
  <c r="D98" i="1" s="1"/>
  <c r="D61" i="1"/>
  <c r="D94" i="1" s="1"/>
  <c r="D62" i="1"/>
  <c r="D102" i="1" s="1"/>
  <c r="D63" i="1"/>
  <c r="D96" i="1" s="1"/>
  <c r="D64" i="1"/>
  <c r="D101" i="1" s="1"/>
  <c r="D65" i="1"/>
  <c r="D97" i="1" s="1"/>
  <c r="D67" i="1"/>
  <c r="D99" i="1" s="1"/>
  <c r="D58" i="1"/>
  <c r="D100" i="1" s="1"/>
  <c r="F30" i="1"/>
  <c r="F29" i="1"/>
  <c r="F28" i="1"/>
  <c r="F27" i="1"/>
  <c r="F26" i="1"/>
  <c r="D30" i="1"/>
  <c r="D29" i="1"/>
  <c r="E37" i="1" s="1"/>
  <c r="D28" i="1"/>
  <c r="E40" i="1" s="1"/>
  <c r="D27" i="1"/>
  <c r="E39" i="1" s="1"/>
  <c r="D26" i="1"/>
  <c r="E41" i="1" s="1"/>
  <c r="E30" i="1"/>
  <c r="E29" i="1"/>
  <c r="F37" i="1" s="1"/>
  <c r="E28" i="1"/>
  <c r="F40" i="1" s="1"/>
  <c r="E27" i="1"/>
  <c r="F39" i="1" s="1"/>
  <c r="E26" i="1"/>
  <c r="F41" i="1" s="1"/>
  <c r="D23" i="1"/>
  <c r="D22" i="1"/>
  <c r="E19" i="1" s="1"/>
  <c r="D21" i="1"/>
  <c r="D20" i="1"/>
  <c r="D19" i="1"/>
  <c r="E23" i="1"/>
  <c r="E22" i="1"/>
  <c r="E21" i="1"/>
  <c r="E20" i="1"/>
  <c r="D90" i="1" l="1"/>
</calcChain>
</file>

<file path=xl/sharedStrings.xml><?xml version="1.0" encoding="utf-8"?>
<sst xmlns="http://schemas.openxmlformats.org/spreadsheetml/2006/main" count="107" uniqueCount="32">
  <si>
    <t>Dataset</t>
  </si>
  <si>
    <t>Marker</t>
  </si>
  <si>
    <t>RMSE</t>
  </si>
  <si>
    <t>Corr</t>
  </si>
  <si>
    <t>FID</t>
  </si>
  <si>
    <t>Danenberg</t>
  </si>
  <si>
    <t>Pan-CK</t>
  </si>
  <si>
    <t>CK5</t>
  </si>
  <si>
    <t>CK8-18</t>
  </si>
  <si>
    <t>Ki67</t>
  </si>
  <si>
    <t>HER2</t>
  </si>
  <si>
    <t>ERa</t>
  </si>
  <si>
    <t>Jackson</t>
  </si>
  <si>
    <t>H3K27me</t>
  </si>
  <si>
    <t>pHH3</t>
  </si>
  <si>
    <t>Train time (min)</t>
  </si>
  <si>
    <t>J2D</t>
  </si>
  <si>
    <t>CD20</t>
  </si>
  <si>
    <t>CD3</t>
  </si>
  <si>
    <t>CD45</t>
  </si>
  <si>
    <t>CD68</t>
  </si>
  <si>
    <t>sma</t>
  </si>
  <si>
    <t>Dan. (full)</t>
  </si>
  <si>
    <t>J - % area</t>
  </si>
  <si>
    <t>D - % area</t>
  </si>
  <si>
    <t>% area</t>
  </si>
  <si>
    <t>Jack. (full)</t>
  </si>
  <si>
    <t>Identity</t>
  </si>
  <si>
    <t>Immune</t>
  </si>
  <si>
    <t>Clinical</t>
  </si>
  <si>
    <t>C45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</si>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</sst>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Sheet1!$E$1</c:f>
              <c:strCache>
                <c:ptCount val="1"/>
                <c:pt idx="0">
                  <c:v>FID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Sheet1!$A$2:$B$7</c:f>
              <c:multiLvlStrCache>
                <c:ptCount val="6"/>
                <c:lvl>
                  <c:pt idx="0">
                    <c:v>Ki67</c:v>
                  </c:pt>
                  <c:pt idx="1">
                    <c:v>HER2</c:v>
                  </c:pt>
                  <c:pt idx="2">
                    <c:v>CK8-18</c:v>
                  </c:pt>
                  <c:pt idx="3">
                    <c:v>CK5</c:v>
                  </c:pt>
                  <c:pt idx="4">
                    <c:v>Pan-CK</c:v>
                  </c:pt>
                  <c:pt idx="5">
                    <c:v>ERa</c:v>
                  </c:pt>
                </c:lvl>
                <c:lvl>
                  <c:pt idx="0">
                    <c:v>Danenberg</c:v>
                  </c:pt>
                </c:lvl>
              </c:multiLvlStrCache>
            </c:multiLvlStrRef>
          </c:cat>
          <c:val>
            <c:numRef>
              <c:f>Sheet1!$E$2:$E$7</c:f>
              <c:numCache>
                <c:formatCode>General</c:formatCode>
                <c:ptCount val="6"/>
                <c:pt idx="0">
                  <c:v>340.8</c:v>
                </c:pt>
                <c:pt idx="1">
                  <c:v>292.7</c:v>
                </c:pt>
                <c:pt idx="2">
                  <c:v>314</c:v>
                </c:pt>
                <c:pt idx="3">
                  <c:v>371.6</c:v>
                </c:pt>
                <c:pt idx="4">
                  <c:v>346.6</c:v>
                </c:pt>
                <c:pt idx="5">
                  <c:v>257.7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0B62-49EF-994B-DCDC43AD39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7638511"/>
        <c:axId val="457638927"/>
      </c:barChart>
      <c:catAx>
        <c:axId val="45763851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57638927"/>
        <c:crosses val="autoZero"/>
        <c:auto val="1"/>
        <c:lblAlgn val="ctr"/>
        <c:lblOffset val="100"/>
        <c:noMultiLvlLbl val="0"/>
      </c:catAx>
      <c:valAx>
        <c:axId val="45763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51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47286784294566"/>
          <c:y val="4.8198723648115505E-2"/>
          <c:w val="0.83207577146879064"/>
          <c:h val="0.8111798281473261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Sheet1!$D$18</c:f>
              <c:strCache>
                <c:ptCount val="1"/>
                <c:pt idx="0">
                  <c:v>Danenberg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Sheet1!$B$19:$B$23</c:f>
              <c:strCache>
                <c:ptCount val="5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  <c:pt idx="4">
                  <c:v>HER2</c:v>
                </c:pt>
              </c:strCache>
            </c:strRef>
          </c:cat>
          <c:val>
            <c:numRef>
              <c:f>Sheet1!$D$19:$D$23</c:f>
              <c:numCache>
                <c:formatCode>General</c:formatCode>
                <c:ptCount val="5"/>
                <c:pt idx="0">
                  <c:v>0.374</c:v>
                </c:pt>
                <c:pt idx="1">
                  <c:v>0.40799999999999997</c:v>
                </c:pt>
                <c:pt idx="2">
                  <c:v>0.442</c:v>
                </c:pt>
                <c:pt idx="3">
                  <c:v>0.46700000000000003</c:v>
                </c:pt>
                <c:pt idx="4">
                  <c:v>0.46300000000000002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9A-4D71-BFFC-B028976BA26F}"/>
            </c:ext>
          </c:extLst>
        </c:ser>
        <c:ser>
          <c:idx val="1"/>
          <c:order val="1"/>
          <c:tx>
            <c:strRef>
              <c:f>Sheet1!$E$18</c:f>
              <c:strCache>
                <c:ptCount val="1"/>
                <c:pt idx="0">
                  <c:v>Jackson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Sheet1!$B$19:$B$23</c:f>
              <c:strCache>
                <c:ptCount val="5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  <c:pt idx="4">
                  <c:v>HER2</c:v>
                </c:pt>
              </c:strCache>
            </c:strRef>
          </c:cat>
          <c:val>
            <c:numRef>
              <c:f>Sheet1!$E$19:$E$23</c:f>
              <c:numCache>
                <c:formatCode>General</c:formatCode>
                <c:ptCount val="5"/>
                <c:pt idx="0">
                  <c:v>0.318</c:v>
                </c:pt>
                <c:pt idx="1">
                  <c:v>0.379</c:v>
                </c:pt>
                <c:pt idx="2">
                  <c:v>0.40100000000000002</c:v>
                </c:pt>
                <c:pt idx="3">
                  <c:v>0.39100000000000001</c:v>
                </c:pt>
                <c:pt idx="4">
                  <c:v>0.35099999999999998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9A-4D71-BFFC-B028976BA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RMSE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0612368205589735"/>
          <c:y val="0.64367899105800785"/>
          <c:w val="0.19387625944126491"/>
          <c:h val="7.56250586294234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42054217232659"/>
          <c:y val="4.6635671915878196E-2"/>
          <c:w val="0.80561094343760875"/>
          <c:h val="0.7740213052875826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Sheet1!$C$18</c:f>
              <c:strCache>
                <c:ptCount val="1"/>
                <c:pt idx="0">
                  <c:v>D - % area</c:v>
                </c:pt>
              </c:strCache>
            </c:strRef>
          </c:tx>
          <c:spPr>
            <a:noFill/>
            <a:ln>
              <a:solidFill>
                <a:schemeClr val="accent1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Sheet1!$B$26:$B$30</c15:sqref>
                  </c15:fullRef>
                </c:ext>
              </c:extLst>
              <c:f>Sheet1!$B$26:$B$29</c:f>
              <c:strCache>
                <c:ptCount val="4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Sheet1!$C$26:$C$30</c15:sqref>
                  </c15:fullRef>
                </c:ext>
              </c:extLst>
              <c:f>Sheet1!$C$26:$C$29</c:f>
              <c:numCache>
                <c:formatCode>0.0</c:formatCode>
                <c:ptCount val="4"/>
                <c:pt idx="0">
                  <c:v>13.48655727</c:v>
                </c:pt>
                <c:pt idx="1">
                  <c:v>14.58223203</c:v>
                </c:pt>
                <c:pt idx="2">
                  <c:v>61.985700940000001</c:v>
                </c:pt>
                <c:pt idx="3">
                  <c:v>38.822217160000001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EB-4E06-A029-48B27FF534D5}"/>
            </c:ext>
          </c:extLst>
        </c:ser>
        <c:ser>
          <c:idx val="3"/>
          <c:order val="1"/>
          <c:tx>
            <c:strRef>
              <c:f>Sheet1!$F$18</c:f>
              <c:strCache>
                <c:ptCount val="1"/>
                <c:pt idx="0">
                  <c:v>J - % area</c:v>
                </c:pt>
              </c:strCache>
            </c:strRef>
          </c:tx>
          <c:spPr>
            <a:noFill/>
            <a:ln>
              <a:solidFill>
                <a:schemeClr val="accent2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Sheet1!$B$26:$B$30</c15:sqref>
                  </c15:fullRef>
                </c:ext>
              </c:extLst>
              <c:f>Sheet1!$B$26:$B$29</c:f>
              <c:strCache>
                <c:ptCount val="4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Sheet1!$F$26:$F$30</c15:sqref>
                  </c15:fullRef>
                </c:ext>
              </c:extLst>
              <c:f>Sheet1!$F$26:$F$29</c:f>
              <c:numCache>
                <c:formatCode>0</c:formatCode>
                <c:ptCount val="4"/>
                <c:pt idx="0">
                  <c:v>0.20128612370691801</c:v>
                </c:pt>
                <c:pt idx="1">
                  <c:v>0.31836085952235299</c:v>
                </c:pt>
                <c:pt idx="2">
                  <c:v>0.27749155771600498</c:v>
                </c:pt>
                <c:pt idx="3">
                  <c:v>0.25666775391575802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08-4C87-B664-092054E4EDFD}"/>
            </c:ext>
          </c:extLst>
        </c:ser>
        <c:ser>
          <c:idx val="1"/>
          <c:order val="2"/>
          <c:tx>
            <c:strRef>
              <c:f>Sheet1!$D$18</c:f>
              <c:strCache>
                <c:ptCount val="1"/>
                <c:pt idx="0">
                  <c:v>Danenberg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Sheet1!$B$26:$B$30</c15:sqref>
                  </c15:fullRef>
                </c:ext>
              </c:extLst>
              <c:f>Sheet1!$B$26:$B$29</c:f>
              <c:strCache>
                <c:ptCount val="4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Sheet1!$D$26:$D$30</c15:sqref>
                  </c15:fullRef>
                </c:ext>
              </c:extLst>
              <c:f>Sheet1!$D$26:$D$29</c:f>
              <c:numCache>
                <c:formatCode>General</c:formatCode>
                <c:ptCount val="4"/>
                <c:pt idx="0">
                  <c:v>346.6</c:v>
                </c:pt>
                <c:pt idx="1">
                  <c:v>371.6</c:v>
                </c:pt>
                <c:pt idx="2">
                  <c:v>314</c:v>
                </c:pt>
                <c:pt idx="3">
                  <c:v>340.8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EB-4E06-A029-48B27FF534D5}"/>
            </c:ext>
          </c:extLst>
        </c:ser>
        <c:ser>
          <c:idx val="2"/>
          <c:order val="3"/>
          <c:tx>
            <c:strRef>
              <c:f>Sheet1!$E$18</c:f>
              <c:strCache>
                <c:ptCount val="1"/>
                <c:pt idx="0">
                  <c:v>Jackson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Sheet1!$B$26:$B$30</c15:sqref>
                  </c15:fullRef>
                </c:ext>
              </c:extLst>
              <c:f>Sheet1!$B$26:$B$29</c:f>
              <c:strCache>
                <c:ptCount val="4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Sheet1!$E$26:$E$30</c15:sqref>
                  </c15:fullRef>
                </c:ext>
              </c:extLst>
              <c:f>Sheet1!$E$26:$E$29</c:f>
              <c:numCache>
                <c:formatCode>General</c:formatCode>
                <c:ptCount val="4"/>
                <c:pt idx="0">
                  <c:v>298.39999999999998</c:v>
                </c:pt>
                <c:pt idx="1">
                  <c:v>270.7</c:v>
                </c:pt>
                <c:pt idx="2">
                  <c:v>257.05</c:v>
                </c:pt>
                <c:pt idx="3">
                  <c:v>295.01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08-4C87-B664-092054E4E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270165264543826"/>
          <c:y val="8.1665296475030291E-2"/>
          <c:w val="0.16493337447407622"/>
          <c:h val="0.38100899589771431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86383175358807"/>
          <c:y val="4.8198723648115505E-2"/>
          <c:w val="0.82068487737219653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Sheet1!$C$32</c:f>
              <c:strCache>
                <c:ptCount val="1"/>
                <c:pt idx="0">
                  <c:v>D - % area</c:v>
                </c:pt>
              </c:strCache>
            </c:strRef>
          </c:tx>
          <c:spPr>
            <a:noFill/>
            <a:ln>
              <a:solidFill>
                <a:schemeClr val="accent1"/>
              </a:solidFill>
            </a:ln>
            <a:effectLst/>
          </c:spPr>
          <c:invertIfNegative val="0"/>
          <c:cat>
            <c:strRef>
              <c:f>Sheet1!$B$58:$B$68</c:f>
              <c:strCache>
                <c:ptCount val="11"/>
                <c:pt idx="0">
                  <c:v>CK5</c:v>
                </c:pt>
                <c:pt idx="1">
                  <c:v>CD68</c:v>
                </c:pt>
                <c:pt idx="2">
                  <c:v>sma</c:v>
                </c:pt>
                <c:pt idx="3">
                  <c:v>CD3</c:v>
                </c:pt>
                <c:pt idx="4">
                  <c:v>Ki67</c:v>
                </c:pt>
                <c:pt idx="5">
                  <c:v>CD20</c:v>
                </c:pt>
                <c:pt idx="6">
                  <c:v>CK8-18</c:v>
                </c:pt>
                <c:pt idx="7">
                  <c:v>CD45</c:v>
                </c:pt>
                <c:pt idx="8">
                  <c:v>HER2</c:v>
                </c:pt>
                <c:pt idx="9">
                  <c:v>Pan-CK</c:v>
                </c:pt>
                <c:pt idx="10">
                  <c:v>ERa</c:v>
                </c:pt>
              </c:strCache>
            </c:strRef>
          </c:cat>
          <c:val>
            <c:numRef>
              <c:f>Sheet1!$C$58:$C$68</c:f>
              <c:numCache>
                <c:formatCode>0.0</c:formatCode>
                <c:ptCount val="11"/>
                <c:pt idx="0">
                  <c:v>14.58223203</c:v>
                </c:pt>
                <c:pt idx="1">
                  <c:v>34.598979030000002</c:v>
                </c:pt>
                <c:pt idx="2">
                  <c:v>66.19802722</c:v>
                </c:pt>
                <c:pt idx="3">
                  <c:v>9.5516059779999996</c:v>
                </c:pt>
                <c:pt idx="4">
                  <c:v>38.822217160000001</c:v>
                </c:pt>
                <c:pt idx="5">
                  <c:v>3.2566599309999997</c:v>
                </c:pt>
                <c:pt idx="6">
                  <c:v>61.985700940000001</c:v>
                </c:pt>
                <c:pt idx="7">
                  <c:v>7.76826843</c:v>
                </c:pt>
                <c:pt idx="8">
                  <c:v>40.82876701</c:v>
                </c:pt>
                <c:pt idx="9">
                  <c:v>13.486557269999999</c:v>
                </c:pt>
                <c:pt idx="10">
                  <c:v>7.1747951170000004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F3-4D27-8E76-E7297C68D7B9}"/>
            </c:ext>
          </c:extLst>
        </c:ser>
        <c:ser>
          <c:idx val="2"/>
          <c:order val="1"/>
          <c:tx>
            <c:strRef>
              <c:f>Sheet1!$D$32</c:f>
              <c:strCache>
                <c:ptCount val="1"/>
                <c:pt idx="0">
                  <c:v>J2D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Sheet1!$B$58:$B$68</c:f>
              <c:strCache>
                <c:ptCount val="11"/>
                <c:pt idx="0">
                  <c:v>CK5</c:v>
                </c:pt>
                <c:pt idx="1">
                  <c:v>CD68</c:v>
                </c:pt>
                <c:pt idx="2">
                  <c:v>sma</c:v>
                </c:pt>
                <c:pt idx="3">
                  <c:v>CD3</c:v>
                </c:pt>
                <c:pt idx="4">
                  <c:v>Ki67</c:v>
                </c:pt>
                <c:pt idx="5">
                  <c:v>CD20</c:v>
                </c:pt>
                <c:pt idx="6">
                  <c:v>CK8-18</c:v>
                </c:pt>
                <c:pt idx="7">
                  <c:v>CD45</c:v>
                </c:pt>
                <c:pt idx="8">
                  <c:v>HER2</c:v>
                </c:pt>
                <c:pt idx="9">
                  <c:v>Pan-CK</c:v>
                </c:pt>
                <c:pt idx="10">
                  <c:v>ERa</c:v>
                </c:pt>
              </c:strCache>
            </c:strRef>
          </c:cat>
          <c:val>
            <c:numRef>
              <c:f>Sheet1!$D$58:$D$68</c:f>
              <c:numCache>
                <c:formatCode>General</c:formatCode>
                <c:ptCount val="11"/>
                <c:pt idx="0">
                  <c:v>337</c:v>
                </c:pt>
                <c:pt idx="1">
                  <c:v>361</c:v>
                </c:pt>
                <c:pt idx="2">
                  <c:v>186.9</c:v>
                </c:pt>
                <c:pt idx="3">
                  <c:v>346</c:v>
                </c:pt>
                <c:pt idx="4">
                  <c:v>263</c:v>
                </c:pt>
                <c:pt idx="5">
                  <c:v>351</c:v>
                </c:pt>
                <c:pt idx="6">
                  <c:v>189.6</c:v>
                </c:pt>
                <c:pt idx="7">
                  <c:v>206</c:v>
                </c:pt>
                <c:pt idx="8">
                  <c:v>161.5</c:v>
                </c:pt>
                <c:pt idx="9">
                  <c:v>198</c:v>
                </c:pt>
                <c:pt idx="10">
                  <c:v>166.5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2B-4B19-84B2-934E773BFC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5347417489187185"/>
          <c:y val="5.8744298003841011E-2"/>
          <c:w val="0.1850150494211906"/>
          <c:h val="0.19703657135864602"/>
        </c:manualLayout>
      </c:layout>
      <c:overlay val="0"/>
      <c:spPr>
        <a:noFill/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4707691114545221E-2"/>
          <c:y val="4.8198723648115505E-2"/>
          <c:w val="0.91184092985046328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Sheet1!$D$32</c:f>
              <c:strCache>
                <c:ptCount val="1"/>
                <c:pt idx="0">
                  <c:v>J2D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Sheet1!$B$46:$B$56</c:f>
              <c:strCache>
                <c:ptCount val="11"/>
                <c:pt idx="0">
                  <c:v>CK5</c:v>
                </c:pt>
                <c:pt idx="1">
                  <c:v>CD68</c:v>
                </c:pt>
                <c:pt idx="2">
                  <c:v>sma</c:v>
                </c:pt>
                <c:pt idx="3">
                  <c:v>CD3</c:v>
                </c:pt>
                <c:pt idx="4">
                  <c:v>Ki67</c:v>
                </c:pt>
                <c:pt idx="5">
                  <c:v>CD20</c:v>
                </c:pt>
                <c:pt idx="6">
                  <c:v>CK8-18</c:v>
                </c:pt>
                <c:pt idx="7">
                  <c:v>CD45</c:v>
                </c:pt>
                <c:pt idx="8">
                  <c:v>HER2</c:v>
                </c:pt>
                <c:pt idx="9">
                  <c:v>Pan-CK</c:v>
                </c:pt>
                <c:pt idx="10">
                  <c:v>ERa</c:v>
                </c:pt>
              </c:strCache>
            </c:strRef>
          </c:cat>
          <c:val>
            <c:numRef>
              <c:f>Sheet1!$D$46:$D$56</c:f>
              <c:numCache>
                <c:formatCode>0.00</c:formatCode>
                <c:ptCount val="11"/>
                <c:pt idx="0">
                  <c:v>8.0799999999999997E-2</c:v>
                </c:pt>
                <c:pt idx="1">
                  <c:v>9.6000000000000002E-2</c:v>
                </c:pt>
                <c:pt idx="2">
                  <c:v>0.13</c:v>
                </c:pt>
                <c:pt idx="3">
                  <c:v>0.14710000000000001</c:v>
                </c:pt>
                <c:pt idx="4">
                  <c:v>0.17499999999999999</c:v>
                </c:pt>
                <c:pt idx="5">
                  <c:v>0.21759999999999999</c:v>
                </c:pt>
                <c:pt idx="6">
                  <c:v>0.36820000000000003</c:v>
                </c:pt>
                <c:pt idx="7">
                  <c:v>0.37040000000000001</c:v>
                </c:pt>
                <c:pt idx="8">
                  <c:v>0.45</c:v>
                </c:pt>
                <c:pt idx="9">
                  <c:v>0.57399999999999995</c:v>
                </c:pt>
                <c:pt idx="10">
                  <c:v>0.57750000000000001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39-42DA-BD89-D38B9EF2A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Corr.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763668343322367"/>
          <c:y val="3.3555499402870642E-2"/>
          <c:w val="0.79639175377689697"/>
          <c:h val="0.8196592471462212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% area</c:v>
                </c:pt>
              </c:strCache>
            </c:strRef>
          </c:tx>
          <c:spPr>
            <a:noFill/>
            <a:ln>
              <a:solidFill>
                <a:schemeClr val="tx2"/>
              </a:solidFill>
            </a:ln>
            <a:effectLst/>
          </c:spPr>
          <c:invertIfNegative val="0"/>
          <c:cat>
            <c:multiLvlStrRef>
              <c:f>Sheet1!$A$2:$B$7</c:f>
              <c:multiLvlStrCache>
                <c:ptCount val="6"/>
                <c:lvl>
                  <c:pt idx="0">
                    <c:v>Ki67</c:v>
                  </c:pt>
                  <c:pt idx="1">
                    <c:v>HER2</c:v>
                  </c:pt>
                  <c:pt idx="2">
                    <c:v>CK8-18</c:v>
                  </c:pt>
                  <c:pt idx="3">
                    <c:v>CK5</c:v>
                  </c:pt>
                  <c:pt idx="4">
                    <c:v>Pan-CK</c:v>
                  </c:pt>
                  <c:pt idx="5">
                    <c:v>ERa</c:v>
                  </c:pt>
                </c:lvl>
                <c:lvl>
                  <c:pt idx="0">
                    <c:v>Danenberg</c:v>
                  </c:pt>
                </c:lvl>
              </c:multiLvlStrCache>
            </c:multiLvlStrRef>
          </c:cat>
          <c:val>
            <c:numRef>
              <c:f>Sheet1!$C$2:$C$7</c:f>
              <c:numCache>
                <c:formatCode>General</c:formatCode>
                <c:ptCount val="6"/>
                <c:pt idx="0">
                  <c:v>0.3882221716</c:v>
                </c:pt>
                <c:pt idx="1">
                  <c:v>0.4082876701</c:v>
                </c:pt>
                <c:pt idx="2">
                  <c:v>0.61985700939999999</c:v>
                </c:pt>
                <c:pt idx="3">
                  <c:v>0.1458223203</c:v>
                </c:pt>
                <c:pt idx="4">
                  <c:v>0.13486557269999999</c:v>
                </c:pt>
                <c:pt idx="5">
                  <c:v>7.1747951170000004E-2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6-4B96-A981-838BF0B11FBB}"/>
            </c:ext>
          </c:extLst>
        </c:ser>
        <c:ser>
          <c:idx val="1"/>
          <c:order val="1"/>
          <c:tx>
            <c:strRef>
              <c:f>Sheet1!$D$1</c:f>
              <c:strCache>
                <c:ptCount val="1"/>
                <c:pt idx="0">
                  <c:v>RMSE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Sheet1!$A$2:$B$7</c:f>
              <c:multiLvlStrCache>
                <c:ptCount val="6"/>
                <c:lvl>
                  <c:pt idx="0">
                    <c:v>Ki67</c:v>
                  </c:pt>
                  <c:pt idx="1">
                    <c:v>HER2</c:v>
                  </c:pt>
                  <c:pt idx="2">
                    <c:v>CK8-18</c:v>
                  </c:pt>
                  <c:pt idx="3">
                    <c:v>CK5</c:v>
                  </c:pt>
                  <c:pt idx="4">
                    <c:v>Pan-CK</c:v>
                  </c:pt>
                  <c:pt idx="5">
                    <c:v>ERa</c:v>
                  </c:pt>
                </c:lvl>
                <c:lvl>
                  <c:pt idx="0">
                    <c:v>Danenberg</c:v>
                  </c:pt>
                </c:lvl>
              </c:multiLvlStrCache>
            </c:multiLvlStrRef>
          </c:cat>
          <c:val>
            <c:numRef>
              <c:f>Sheet1!$D$2:$D$7</c:f>
              <c:numCache>
                <c:formatCode>General</c:formatCode>
                <c:ptCount val="6"/>
                <c:pt idx="0">
                  <c:v>0.46700000000000003</c:v>
                </c:pt>
                <c:pt idx="1">
                  <c:v>0.46300000000000002</c:v>
                </c:pt>
                <c:pt idx="2">
                  <c:v>0.442</c:v>
                </c:pt>
                <c:pt idx="3">
                  <c:v>0.40799999999999997</c:v>
                </c:pt>
                <c:pt idx="4">
                  <c:v>0.374</c:v>
                </c:pt>
                <c:pt idx="5">
                  <c:v>0.312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8E-409B-AB25-AF9720FD55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7638511"/>
        <c:axId val="457638927"/>
      </c:barChart>
      <c:catAx>
        <c:axId val="4576385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927"/>
        <c:crosses val="autoZero"/>
        <c:auto val="1"/>
        <c:lblAlgn val="ctr"/>
        <c:lblOffset val="100"/>
        <c:noMultiLvlLbl val="0"/>
      </c:catAx>
      <c:valAx>
        <c:axId val="457638927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RMSE / % area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511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24838272617981"/>
          <c:y val="8.5512959580635525E-2"/>
          <c:w val="0.10468976738807781"/>
          <c:h val="0.14388595543539973"/>
        </c:manualLayout>
      </c:layout>
      <c:overlay val="0"/>
      <c:spPr>
        <a:solidFill>
          <a:schemeClr val="bg1"/>
        </a:solidFill>
        <a:ln>
          <a:solidFill>
            <a:schemeClr val="tx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763668343322367"/>
          <c:y val="3.3555499402870642E-2"/>
          <c:w val="0.79639175377689697"/>
          <c:h val="0.8196592471462212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% area</c:v>
                </c:pt>
              </c:strCache>
            </c:strRef>
          </c:tx>
          <c:spPr>
            <a:noFill/>
            <a:ln>
              <a:solidFill>
                <a:schemeClr val="accent2"/>
              </a:solidFill>
            </a:ln>
            <a:effectLst/>
          </c:spPr>
          <c:invertIfNegative val="0"/>
          <c:cat>
            <c:multiLvlStrRef>
              <c:f>Sheet1!$A$9:$B$15</c:f>
              <c:multiLvlStrCache>
                <c:ptCount val="7"/>
                <c:lvl>
                  <c:pt idx="0">
                    <c:v>CK8-18</c:v>
                  </c:pt>
                  <c:pt idx="1">
                    <c:v>Ki67</c:v>
                  </c:pt>
                  <c:pt idx="2">
                    <c:v>CK5</c:v>
                  </c:pt>
                  <c:pt idx="3">
                    <c:v>pHH3</c:v>
                  </c:pt>
                  <c:pt idx="4">
                    <c:v>HER2</c:v>
                  </c:pt>
                  <c:pt idx="5">
                    <c:v>Pan-CK</c:v>
                  </c:pt>
                  <c:pt idx="6">
                    <c:v>H3K27me</c:v>
                  </c:pt>
                </c:lvl>
                <c:lvl>
                  <c:pt idx="0">
                    <c:v>Jackson</c:v>
                  </c:pt>
                </c:lvl>
              </c:multiLvlStrCache>
            </c:multiLvlStrRef>
          </c:cat>
          <c:val>
            <c:numRef>
              <c:f>Sheet1!$C$9:$C$15</c:f>
              <c:numCache>
                <c:formatCode>General</c:formatCode>
                <c:ptCount val="7"/>
                <c:pt idx="0">
                  <c:v>0.27749155771600498</c:v>
                </c:pt>
                <c:pt idx="1">
                  <c:v>0.25666775391575802</c:v>
                </c:pt>
                <c:pt idx="2">
                  <c:v>0.31836085952235299</c:v>
                </c:pt>
                <c:pt idx="3">
                  <c:v>0.115243205004764</c:v>
                </c:pt>
                <c:pt idx="4">
                  <c:v>0.43841542505719</c:v>
                </c:pt>
                <c:pt idx="5">
                  <c:v>0.20128612370691801</c:v>
                </c:pt>
                <c:pt idx="6">
                  <c:v>0.17482263239736898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34-4E12-914A-7B5A62EB9236}"/>
            </c:ext>
          </c:extLst>
        </c:ser>
        <c:ser>
          <c:idx val="1"/>
          <c:order val="1"/>
          <c:tx>
            <c:strRef>
              <c:f>Sheet1!$D$1</c:f>
              <c:strCache>
                <c:ptCount val="1"/>
                <c:pt idx="0">
                  <c:v>RMSE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Sheet1!$A$9:$B$15</c:f>
              <c:multiLvlStrCache>
                <c:ptCount val="7"/>
                <c:lvl>
                  <c:pt idx="0">
                    <c:v>CK8-18</c:v>
                  </c:pt>
                  <c:pt idx="1">
                    <c:v>Ki67</c:v>
                  </c:pt>
                  <c:pt idx="2">
                    <c:v>CK5</c:v>
                  </c:pt>
                  <c:pt idx="3">
                    <c:v>pHH3</c:v>
                  </c:pt>
                  <c:pt idx="4">
                    <c:v>HER2</c:v>
                  </c:pt>
                  <c:pt idx="5">
                    <c:v>Pan-CK</c:v>
                  </c:pt>
                  <c:pt idx="6">
                    <c:v>H3K27me</c:v>
                  </c:pt>
                </c:lvl>
                <c:lvl>
                  <c:pt idx="0">
                    <c:v>Jackson</c:v>
                  </c:pt>
                </c:lvl>
              </c:multiLvlStrCache>
            </c:multiLvlStrRef>
          </c:cat>
          <c:val>
            <c:numRef>
              <c:f>Sheet1!$D$9:$D$15</c:f>
              <c:numCache>
                <c:formatCode>General</c:formatCode>
                <c:ptCount val="7"/>
                <c:pt idx="0">
                  <c:v>0.40100000000000002</c:v>
                </c:pt>
                <c:pt idx="1">
                  <c:v>0.39100000000000001</c:v>
                </c:pt>
                <c:pt idx="2">
                  <c:v>0.379</c:v>
                </c:pt>
                <c:pt idx="3">
                  <c:v>0.35699999999999998</c:v>
                </c:pt>
                <c:pt idx="4">
                  <c:v>0.35099999999999998</c:v>
                </c:pt>
                <c:pt idx="5">
                  <c:v>0.318</c:v>
                </c:pt>
                <c:pt idx="6" formatCode="0.000">
                  <c:v>0.22009999999999999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34-4E12-914A-7B5A62EB9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7638511"/>
        <c:axId val="457638927"/>
      </c:barChart>
      <c:catAx>
        <c:axId val="4576385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927"/>
        <c:crosses val="autoZero"/>
        <c:auto val="1"/>
        <c:lblAlgn val="ctr"/>
        <c:lblOffset val="100"/>
        <c:noMultiLvlLbl val="0"/>
      </c:catAx>
      <c:valAx>
        <c:axId val="457638927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RMSE / % area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511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24838272617981"/>
          <c:y val="8.5512959580635525E-2"/>
          <c:w val="0.10541463590643145"/>
          <c:h val="0.13712209935017153"/>
        </c:manualLayout>
      </c:layout>
      <c:overlay val="0"/>
      <c:spPr>
        <a:solidFill>
          <a:schemeClr val="bg1"/>
        </a:solidFill>
        <a:ln>
          <a:solidFill>
            <a:schemeClr val="tx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Sheet1!$E$1</c:f>
              <c:strCache>
                <c:ptCount val="1"/>
                <c:pt idx="0">
                  <c:v>FID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Sheet1!$A$9:$B$15</c:f>
              <c:multiLvlStrCache>
                <c:ptCount val="7"/>
                <c:lvl>
                  <c:pt idx="0">
                    <c:v>CK8-18</c:v>
                  </c:pt>
                  <c:pt idx="1">
                    <c:v>Ki67</c:v>
                  </c:pt>
                  <c:pt idx="2">
                    <c:v>CK5</c:v>
                  </c:pt>
                  <c:pt idx="3">
                    <c:v>pHH3</c:v>
                  </c:pt>
                  <c:pt idx="4">
                    <c:v>HER2</c:v>
                  </c:pt>
                  <c:pt idx="5">
                    <c:v>Pan-CK</c:v>
                  </c:pt>
                  <c:pt idx="6">
                    <c:v>H3K27me</c:v>
                  </c:pt>
                </c:lvl>
                <c:lvl>
                  <c:pt idx="0">
                    <c:v>Jackson</c:v>
                  </c:pt>
                </c:lvl>
              </c:multiLvlStrCache>
            </c:multiLvlStrRef>
          </c:cat>
          <c:val>
            <c:numRef>
              <c:f>Sheet1!$E$9:$E$15</c:f>
              <c:numCache>
                <c:formatCode>General</c:formatCode>
                <c:ptCount val="7"/>
                <c:pt idx="0">
                  <c:v>257.05</c:v>
                </c:pt>
                <c:pt idx="1">
                  <c:v>295.01</c:v>
                </c:pt>
                <c:pt idx="2">
                  <c:v>270.7</c:v>
                </c:pt>
                <c:pt idx="3">
                  <c:v>317.12</c:v>
                </c:pt>
                <c:pt idx="4">
                  <c:v>240.74</c:v>
                </c:pt>
                <c:pt idx="5">
                  <c:v>298.39999999999998</c:v>
                </c:pt>
                <c:pt idx="6">
                  <c:v>253.4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F8-448E-8424-F828939EB6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7638511"/>
        <c:axId val="457638927"/>
      </c:barChart>
      <c:catAx>
        <c:axId val="45763851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57638927"/>
        <c:crosses val="autoZero"/>
        <c:auto val="1"/>
        <c:lblAlgn val="ctr"/>
        <c:lblOffset val="100"/>
        <c:noMultiLvlLbl val="0"/>
      </c:catAx>
      <c:valAx>
        <c:axId val="45763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51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730656532331199"/>
          <c:y val="4.8198723648115505E-2"/>
          <c:w val="0.8092420285807217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Sheet1!$D$32</c:f>
              <c:strCache>
                <c:ptCount val="1"/>
                <c:pt idx="0">
                  <c:v>J2D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Sheet1!$B$78:$B$88</c:f>
              <c:strCache>
                <c:ptCount val="11"/>
                <c:pt idx="0">
                  <c:v>CD3</c:v>
                </c:pt>
                <c:pt idx="1">
                  <c:v>CD68</c:v>
                </c:pt>
                <c:pt idx="2">
                  <c:v>CD20</c:v>
                </c:pt>
                <c:pt idx="3">
                  <c:v>CD45</c:v>
                </c:pt>
                <c:pt idx="4">
                  <c:v>sma</c:v>
                </c:pt>
                <c:pt idx="5">
                  <c:v>Pan-CK</c:v>
                </c:pt>
                <c:pt idx="6">
                  <c:v>CK5</c:v>
                </c:pt>
                <c:pt idx="7">
                  <c:v>CK8-18</c:v>
                </c:pt>
                <c:pt idx="8">
                  <c:v>Ki67</c:v>
                </c:pt>
                <c:pt idx="9">
                  <c:v>HER2</c:v>
                </c:pt>
                <c:pt idx="10">
                  <c:v>ERa</c:v>
                </c:pt>
              </c:strCache>
            </c:strRef>
          </c:cat>
          <c:val>
            <c:numRef>
              <c:f>Sheet1!$D$78:$D$88</c:f>
              <c:numCache>
                <c:formatCode>0.00</c:formatCode>
                <c:ptCount val="11"/>
                <c:pt idx="0">
                  <c:v>0.14710000000000001</c:v>
                </c:pt>
                <c:pt idx="1">
                  <c:v>9.6000000000000002E-2</c:v>
                </c:pt>
                <c:pt idx="2">
                  <c:v>0.21759999999999999</c:v>
                </c:pt>
                <c:pt idx="3">
                  <c:v>0.37040000000000001</c:v>
                </c:pt>
                <c:pt idx="4">
                  <c:v>0.13</c:v>
                </c:pt>
                <c:pt idx="5">
                  <c:v>0.57399999999999995</c:v>
                </c:pt>
                <c:pt idx="6">
                  <c:v>8.0799999999999997E-2</c:v>
                </c:pt>
                <c:pt idx="7">
                  <c:v>0.36820000000000003</c:v>
                </c:pt>
                <c:pt idx="8">
                  <c:v>0.17499999999999999</c:v>
                </c:pt>
                <c:pt idx="9">
                  <c:v>0.45</c:v>
                </c:pt>
                <c:pt idx="10">
                  <c:v>0.57750000000000001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61-4435-AE78-9073A36085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  <c:max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Correlation</a:t>
                </a:r>
                <a:r>
                  <a:rPr lang="en-US" baseline="0"/>
                  <a:t> of real and predicted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86383175358807"/>
          <c:y val="4.8198723648115505E-2"/>
          <c:w val="0.82068487737219653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Sheet1!$C$32</c:f>
              <c:strCache>
                <c:ptCount val="1"/>
                <c:pt idx="0">
                  <c:v>D - % area</c:v>
                </c:pt>
              </c:strCache>
            </c:strRef>
          </c:tx>
          <c:spPr>
            <a:noFill/>
            <a:ln>
              <a:solidFill>
                <a:schemeClr val="tx1"/>
              </a:solidFill>
            </a:ln>
            <a:effectLst/>
          </c:spPr>
          <c:invertIfNegative val="0"/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</c:multiLvlStrRef>
          </c:cat>
          <c:val>
            <c:numRef>
              <c:f>Sheet1!$C$94:$C$104</c:f>
              <c:numCache>
                <c:formatCode>0</c:formatCode>
                <c:ptCount val="11"/>
                <c:pt idx="0">
                  <c:v>9.5516059779999996</c:v>
                </c:pt>
                <c:pt idx="1">
                  <c:v>34.598979030000002</c:v>
                </c:pt>
                <c:pt idx="2">
                  <c:v>3.2566599309999997</c:v>
                </c:pt>
                <c:pt idx="3">
                  <c:v>7.76826843</c:v>
                </c:pt>
                <c:pt idx="4">
                  <c:v>66.19802722</c:v>
                </c:pt>
                <c:pt idx="5">
                  <c:v>13.486557269999999</c:v>
                </c:pt>
                <c:pt idx="6">
                  <c:v>14.58223203</c:v>
                </c:pt>
                <c:pt idx="7">
                  <c:v>61.985700940000001</c:v>
                </c:pt>
                <c:pt idx="8">
                  <c:v>38.822217160000001</c:v>
                </c:pt>
                <c:pt idx="9">
                  <c:v>40.82876701</c:v>
                </c:pt>
                <c:pt idx="10">
                  <c:v>7.1747951170000004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0D-4632-9F6D-E582F1EAE94B}"/>
            </c:ext>
          </c:extLst>
        </c:ser>
        <c:ser>
          <c:idx val="2"/>
          <c:order val="1"/>
          <c:tx>
            <c:strRef>
              <c:f>Sheet1!$D$32</c:f>
              <c:strCache>
                <c:ptCount val="1"/>
                <c:pt idx="0">
                  <c:v>J2D</c:v>
                </c:pt>
              </c:strCache>
            </c:strRef>
          </c:tx>
          <c:spPr>
            <a:solidFill>
              <a:schemeClr val="tx2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</c:multiLvlStrRef>
          </c:cat>
          <c:val>
            <c:numRef>
              <c:f>Sheet1!$D$94:$D$104</c:f>
              <c:numCache>
                <c:formatCode>0.0</c:formatCode>
                <c:ptCount val="11"/>
                <c:pt idx="0">
                  <c:v>346</c:v>
                </c:pt>
                <c:pt idx="1">
                  <c:v>361</c:v>
                </c:pt>
                <c:pt idx="2">
                  <c:v>351</c:v>
                </c:pt>
                <c:pt idx="3">
                  <c:v>206</c:v>
                </c:pt>
                <c:pt idx="4">
                  <c:v>186.9</c:v>
                </c:pt>
                <c:pt idx="5">
                  <c:v>198</c:v>
                </c:pt>
                <c:pt idx="6">
                  <c:v>337</c:v>
                </c:pt>
                <c:pt idx="7">
                  <c:v>189.6</c:v>
                </c:pt>
                <c:pt idx="8">
                  <c:v>263</c:v>
                </c:pt>
                <c:pt idx="9">
                  <c:v>161.5</c:v>
                </c:pt>
                <c:pt idx="10">
                  <c:v>166.5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0D-4632-9F6D-E582F1EAE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  <c:max val="5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68285069169575829"/>
          <c:y val="4.0450012784454092E-2"/>
          <c:w val="0.1850150494211906"/>
          <c:h val="0.19703657135864602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  <c:userShapes r:id="rId3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82997464300011"/>
          <c:y val="4.8198723648115505E-2"/>
          <c:w val="0.84271880421726941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Sheet1!$D$32</c:f>
              <c:strCache>
                <c:ptCount val="1"/>
                <c:pt idx="0">
                  <c:v>J2D</c:v>
                </c:pt>
              </c:strCache>
            </c:strRef>
          </c:tx>
          <c:spPr>
            <a:solidFill>
              <a:schemeClr val="tx2"/>
            </a:solidFill>
            <a:ln w="38100"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Sheet1!$B$37:$B$43</c15:sqref>
                  </c15:fullRef>
                </c:ext>
              </c:extLst>
              <c:f>(Sheet1!$B$37,Sheet1!$B$42:$B$43)</c:f>
              <c:strCache>
                <c:ptCount val="3"/>
                <c:pt idx="0">
                  <c:v>Ki67</c:v>
                </c:pt>
                <c:pt idx="1">
                  <c:v>HER2</c:v>
                </c:pt>
                <c:pt idx="2">
                  <c:v>ERa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Sheet1!$D$37:$D$43</c15:sqref>
                  </c15:fullRef>
                </c:ext>
              </c:extLst>
              <c:f>(Sheet1!$D$37,Sheet1!$D$42:$D$43)</c:f>
              <c:numCache>
                <c:formatCode>General</c:formatCode>
                <c:ptCount val="3"/>
                <c:pt idx="0">
                  <c:v>263</c:v>
                </c:pt>
                <c:pt idx="1">
                  <c:v>161.5</c:v>
                </c:pt>
                <c:pt idx="2">
                  <c:v>166.5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A4-46A2-A9E4-DAB59E638F2D}"/>
            </c:ext>
          </c:extLst>
        </c:ser>
        <c:ser>
          <c:idx val="2"/>
          <c:order val="1"/>
          <c:tx>
            <c:strRef>
              <c:f>Sheet1!$E$32</c:f>
              <c:strCache>
                <c:ptCount val="1"/>
                <c:pt idx="0">
                  <c:v>Dan. (full)</c:v>
                </c:pt>
              </c:strCache>
            </c:strRef>
          </c:tx>
          <c:spPr>
            <a:noFill/>
            <a:ln>
              <a:solidFill>
                <a:schemeClr val="tx2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Sheet1!$B$37:$B$43</c15:sqref>
                  </c15:fullRef>
                </c:ext>
              </c:extLst>
              <c:f>(Sheet1!$B$37,Sheet1!$B$42:$B$43)</c:f>
              <c:strCache>
                <c:ptCount val="3"/>
                <c:pt idx="0">
                  <c:v>Ki67</c:v>
                </c:pt>
                <c:pt idx="1">
                  <c:v>HER2</c:v>
                </c:pt>
                <c:pt idx="2">
                  <c:v>ERa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Sheet1!$E$37:$E$43</c15:sqref>
                  </c15:fullRef>
                </c:ext>
              </c:extLst>
              <c:f>(Sheet1!$E$37,Sheet1!$E$42:$E$43)</c:f>
              <c:numCache>
                <c:formatCode>General</c:formatCode>
                <c:ptCount val="3"/>
                <c:pt idx="0">
                  <c:v>340.8</c:v>
                </c:pt>
                <c:pt idx="1">
                  <c:v>292.7</c:v>
                </c:pt>
                <c:pt idx="2">
                  <c:v>257.7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A4-46A2-A9E4-DAB59E638F2D}"/>
            </c:ext>
          </c:extLst>
        </c:ser>
        <c:ser>
          <c:idx val="0"/>
          <c:order val="2"/>
          <c:tx>
            <c:strRef>
              <c:f>Sheet1!$F$32</c:f>
              <c:strCache>
                <c:ptCount val="1"/>
                <c:pt idx="0">
                  <c:v>Jack. (full)</c:v>
                </c:pt>
              </c:strCache>
            </c:strRef>
          </c:tx>
          <c:spPr>
            <a:noFill/>
            <a:ln>
              <a:solidFill>
                <a:srgbClr val="FF000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Sheet1!$B$37:$B$43</c15:sqref>
                  </c15:fullRef>
                </c:ext>
              </c:extLst>
              <c:f>(Sheet1!$B$37,Sheet1!$B$42:$B$43)</c:f>
              <c:strCache>
                <c:ptCount val="3"/>
                <c:pt idx="0">
                  <c:v>Ki67</c:v>
                </c:pt>
                <c:pt idx="1">
                  <c:v>HER2</c:v>
                </c:pt>
                <c:pt idx="2">
                  <c:v>ERa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Sheet1!$F$37:$F$43</c15:sqref>
                  </c15:fullRef>
                </c:ext>
              </c:extLst>
              <c:f>(Sheet1!$F$37,Sheet1!$F$42:$F$43)</c:f>
              <c:numCache>
                <c:formatCode>General</c:formatCode>
                <c:ptCount val="3"/>
                <c:pt idx="0">
                  <c:v>295.01</c:v>
                </c:pt>
                <c:pt idx="1">
                  <c:v>240.74</c:v>
                </c:pt>
                <c:pt idx="2">
                  <c:v>251.1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A4-46A2-A9E4-DAB59E638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  <c:max val="5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4474927924518086"/>
          <c:y val="7.0107832200926201E-2"/>
          <c:w val="0.15217376217803286"/>
          <c:h val="0.36200006147468489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272030</xdr:colOff>
      <xdr:row>0</xdr:row>
      <xdr:rowOff>45356</xdr:rowOff>
    </xdr:from>
    <xdr:to>
      <xdr:col>30</xdr:col>
      <xdr:colOff>349249</xdr:colOff>
      <xdr:row>25</xdr:row>
      <xdr:rowOff>31749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EA3D7A-0EC6-4400-BC4B-F38051B4F0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347383</xdr:colOff>
      <xdr:row>52</xdr:row>
      <xdr:rowOff>118393</xdr:rowOff>
    </xdr:from>
    <xdr:to>
      <xdr:col>15</xdr:col>
      <xdr:colOff>47999</xdr:colOff>
      <xdr:row>73</xdr:row>
      <xdr:rowOff>120837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5571D5B-01A5-481C-853A-E2333DEDE4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97915</xdr:colOff>
      <xdr:row>52</xdr:row>
      <xdr:rowOff>117245</xdr:rowOff>
    </xdr:from>
    <xdr:to>
      <xdr:col>27</xdr:col>
      <xdr:colOff>145142</xdr:colOff>
      <xdr:row>73</xdr:row>
      <xdr:rowOff>38904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70373EA-76CE-4C13-98C1-F77BA2D8BD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582085</xdr:colOff>
      <xdr:row>101</xdr:row>
      <xdr:rowOff>3486</xdr:rowOff>
    </xdr:from>
    <xdr:to>
      <xdr:col>14</xdr:col>
      <xdr:colOff>286747</xdr:colOff>
      <xdr:row>119</xdr:row>
      <xdr:rowOff>181054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4E0103C-35C9-494D-BDA3-B94A3179A4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18900</xdr:colOff>
      <xdr:row>100</xdr:row>
      <xdr:rowOff>152409</xdr:rowOff>
    </xdr:from>
    <xdr:to>
      <xdr:col>24</xdr:col>
      <xdr:colOff>112297</xdr:colOff>
      <xdr:row>119</xdr:row>
      <xdr:rowOff>147490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458E7BF-7A9D-424E-AC62-6A25BFF7E9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22412</xdr:colOff>
      <xdr:row>0</xdr:row>
      <xdr:rowOff>53663</xdr:rowOff>
    </xdr:from>
    <xdr:to>
      <xdr:col>19</xdr:col>
      <xdr:colOff>592502</xdr:colOff>
      <xdr:row>24</xdr:row>
      <xdr:rowOff>108091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48C374F-4F5C-4A82-B661-C23F945C74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0</xdr:colOff>
      <xdr:row>26</xdr:row>
      <xdr:rowOff>0</xdr:rowOff>
    </xdr:from>
    <xdr:to>
      <xdr:col>19</xdr:col>
      <xdr:colOff>570090</xdr:colOff>
      <xdr:row>50</xdr:row>
      <xdr:rowOff>54428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DB298B6-DB90-4E04-8355-BD6DE4F1DC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0</xdr:colOff>
      <xdr:row>26</xdr:row>
      <xdr:rowOff>0</xdr:rowOff>
    </xdr:from>
    <xdr:to>
      <xdr:col>30</xdr:col>
      <xdr:colOff>77219</xdr:colOff>
      <xdr:row>50</xdr:row>
      <xdr:rowOff>176893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FA3E5FB0-55E2-4115-BDA1-B6DF3CAE6D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14</xdr:col>
      <xdr:colOff>263323</xdr:colOff>
      <xdr:row>75</xdr:row>
      <xdr:rowOff>0</xdr:rowOff>
    </xdr:from>
    <xdr:to>
      <xdr:col>23</xdr:col>
      <xdr:colOff>357476</xdr:colOff>
      <xdr:row>97</xdr:row>
      <xdr:rowOff>148035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60B707C-A51C-4219-B071-82FA1A9911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0</xdr:colOff>
      <xdr:row>75</xdr:row>
      <xdr:rowOff>0</xdr:rowOff>
    </xdr:from>
    <xdr:to>
      <xdr:col>14</xdr:col>
      <xdr:colOff>313204</xdr:colOff>
      <xdr:row>97</xdr:row>
      <xdr:rowOff>173787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EC699C-C12A-45E8-9634-1BA8E2E98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</xdr:col>
      <xdr:colOff>529167</xdr:colOff>
      <xdr:row>119</xdr:row>
      <xdr:rowOff>176334</xdr:rowOff>
    </xdr:from>
    <xdr:to>
      <xdr:col>17</xdr:col>
      <xdr:colOff>321143</xdr:colOff>
      <xdr:row>138</xdr:row>
      <xdr:rowOff>177764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8D8C950-595A-47C4-A456-4505A3F333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0.94215</cdr:x>
      <cdr:y>0.05543</cdr:y>
    </cdr:from>
    <cdr:to>
      <cdr:x>0.94215</cdr:x>
      <cdr:y>0.82379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83FC0CE6-0C90-47ED-AEAE-F2C492B498E0}"/>
            </a:ext>
          </a:extLst>
        </cdr:cNvPr>
        <cdr:cNvCxnSpPr/>
      </cdr:nvCxnSpPr>
      <cdr:spPr>
        <a:xfrm xmlns:a="http://schemas.openxmlformats.org/drawingml/2006/main" flipV="1">
          <a:off x="5260698" y="234190"/>
          <a:ext cx="0" cy="324640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tx1"/>
          </a:solidFill>
          <a:prstDash val="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0.92996</cdr:x>
      <cdr:y>0.07576</cdr:y>
    </cdr:from>
    <cdr:to>
      <cdr:x>0.9303</cdr:x>
      <cdr:y>0.82382</cdr:y>
    </cdr:to>
    <cdr:cxnSp macro="">
      <cdr:nvCxnSpPr>
        <cdr:cNvPr id="2" name="Straight Connector 1">
          <a:extLst xmlns:a="http://schemas.openxmlformats.org/drawingml/2006/main">
            <a:ext uri="{FF2B5EF4-FFF2-40B4-BE49-F238E27FC236}">
              <a16:creationId xmlns:a16="http://schemas.microsoft.com/office/drawing/2014/main" id="{BA08E95C-D24C-43E5-B49E-00124E90E957}"/>
            </a:ext>
          </a:extLst>
        </cdr:cNvPr>
        <cdr:cNvCxnSpPr/>
      </cdr:nvCxnSpPr>
      <cdr:spPr>
        <a:xfrm xmlns:a="http://schemas.openxmlformats.org/drawingml/2006/main" flipH="1" flipV="1">
          <a:off x="7007412" y="268942"/>
          <a:ext cx="2555" cy="265558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tx1"/>
          </a:solidFill>
          <a:prstDash val="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5"/>
  <sheetViews>
    <sheetView tabSelected="1" topLeftCell="B85" zoomScale="77" zoomScaleNormal="55" workbookViewId="0">
      <selection activeCell="D105" sqref="D105"/>
    </sheetView>
  </sheetViews>
  <sheetFormatPr defaultRowHeight="14.5" x14ac:dyDescent="0.35"/>
  <cols>
    <col min="3" max="3" width="20.36328125" bestFit="1" customWidth="1"/>
    <col min="5" max="5" width="10" bestFit="1" customWidth="1"/>
    <col min="7" max="7" width="14.36328125" bestFit="1" customWidth="1"/>
  </cols>
  <sheetData>
    <row r="1" spans="1:7" x14ac:dyDescent="0.35">
      <c r="A1" t="s">
        <v>0</v>
      </c>
      <c r="B1" t="s">
        <v>1</v>
      </c>
      <c r="C1" t="s">
        <v>25</v>
      </c>
      <c r="D1" t="s">
        <v>2</v>
      </c>
      <c r="E1" t="s">
        <v>4</v>
      </c>
      <c r="F1" t="s">
        <v>3</v>
      </c>
      <c r="G1" t="s">
        <v>15</v>
      </c>
    </row>
    <row r="2" spans="1:7" x14ac:dyDescent="0.35">
      <c r="A2" t="s">
        <v>5</v>
      </c>
      <c r="B2" t="s">
        <v>9</v>
      </c>
      <c r="C2">
        <v>0.3882221716</v>
      </c>
      <c r="D2">
        <v>0.46700000000000003</v>
      </c>
      <c r="E2">
        <v>340.8</v>
      </c>
      <c r="F2">
        <v>0.12</v>
      </c>
    </row>
    <row r="3" spans="1:7" x14ac:dyDescent="0.35">
      <c r="B3" t="s">
        <v>10</v>
      </c>
      <c r="C3">
        <v>0.4082876701</v>
      </c>
      <c r="D3">
        <v>0.46300000000000002</v>
      </c>
      <c r="E3">
        <v>292.7</v>
      </c>
      <c r="F3">
        <v>0.16400000000000001</v>
      </c>
    </row>
    <row r="4" spans="1:7" x14ac:dyDescent="0.35">
      <c r="B4" t="s">
        <v>8</v>
      </c>
      <c r="C4">
        <v>0.61985700939999999</v>
      </c>
      <c r="D4">
        <v>0.442</v>
      </c>
      <c r="E4">
        <v>314</v>
      </c>
      <c r="F4">
        <v>0.12</v>
      </c>
    </row>
    <row r="5" spans="1:7" x14ac:dyDescent="0.35">
      <c r="B5" t="s">
        <v>7</v>
      </c>
      <c r="C5">
        <v>0.1458223203</v>
      </c>
      <c r="D5">
        <v>0.40799999999999997</v>
      </c>
      <c r="E5">
        <v>371.6</v>
      </c>
      <c r="F5">
        <v>0.111</v>
      </c>
    </row>
    <row r="6" spans="1:7" x14ac:dyDescent="0.35">
      <c r="B6" t="s">
        <v>6</v>
      </c>
      <c r="C6">
        <v>0.13486557269999999</v>
      </c>
      <c r="D6">
        <v>0.374</v>
      </c>
      <c r="E6">
        <v>346.6</v>
      </c>
      <c r="F6">
        <v>6.3E-2</v>
      </c>
    </row>
    <row r="7" spans="1:7" x14ac:dyDescent="0.35">
      <c r="B7" t="s">
        <v>11</v>
      </c>
      <c r="C7">
        <v>7.1747951170000004E-2</v>
      </c>
      <c r="D7">
        <v>0.312</v>
      </c>
      <c r="E7">
        <v>257.7</v>
      </c>
      <c r="F7">
        <v>0.17</v>
      </c>
    </row>
    <row r="8" spans="1:7" x14ac:dyDescent="0.35">
      <c r="B8" t="s">
        <v>30</v>
      </c>
      <c r="E8">
        <v>286</v>
      </c>
    </row>
    <row r="9" spans="1:7" x14ac:dyDescent="0.35">
      <c r="A9" t="s">
        <v>12</v>
      </c>
      <c r="B9" t="s">
        <v>8</v>
      </c>
      <c r="C9">
        <v>0.27749155771600498</v>
      </c>
      <c r="D9">
        <v>0.40100000000000002</v>
      </c>
      <c r="E9">
        <v>257.05</v>
      </c>
      <c r="F9">
        <v>-0.10199999999999999</v>
      </c>
      <c r="G9">
        <v>163</v>
      </c>
    </row>
    <row r="10" spans="1:7" x14ac:dyDescent="0.35">
      <c r="B10" t="s">
        <v>9</v>
      </c>
      <c r="C10">
        <v>0.25666775391575802</v>
      </c>
      <c r="D10">
        <v>0.39100000000000001</v>
      </c>
      <c r="E10">
        <v>295.01</v>
      </c>
      <c r="F10">
        <v>-0.113</v>
      </c>
      <c r="G10">
        <v>163</v>
      </c>
    </row>
    <row r="11" spans="1:7" x14ac:dyDescent="0.35">
      <c r="B11" t="s">
        <v>7</v>
      </c>
      <c r="C11">
        <v>0.31836085952235299</v>
      </c>
      <c r="D11">
        <v>0.379</v>
      </c>
      <c r="E11">
        <v>270.7</v>
      </c>
      <c r="F11">
        <v>-0.115</v>
      </c>
    </row>
    <row r="12" spans="1:7" x14ac:dyDescent="0.35">
      <c r="B12" t="s">
        <v>14</v>
      </c>
      <c r="C12">
        <v>0.115243205004764</v>
      </c>
      <c r="D12">
        <v>0.35699999999999998</v>
      </c>
      <c r="E12">
        <v>317.12</v>
      </c>
      <c r="F12">
        <v>-0.13600000000000001</v>
      </c>
      <c r="G12">
        <v>160</v>
      </c>
    </row>
    <row r="13" spans="1:7" x14ac:dyDescent="0.35">
      <c r="B13" t="s">
        <v>10</v>
      </c>
      <c r="C13">
        <v>0.43841542505719</v>
      </c>
      <c r="D13">
        <v>0.35099999999999998</v>
      </c>
      <c r="E13">
        <v>240.74</v>
      </c>
      <c r="F13">
        <v>-0.155</v>
      </c>
      <c r="G13">
        <v>158</v>
      </c>
    </row>
    <row r="14" spans="1:7" x14ac:dyDescent="0.35">
      <c r="B14" t="s">
        <v>6</v>
      </c>
      <c r="C14">
        <v>0.20128612370691801</v>
      </c>
      <c r="D14">
        <v>0.318</v>
      </c>
      <c r="E14">
        <v>298.39999999999998</v>
      </c>
      <c r="F14">
        <v>8.7999999999999995E-2</v>
      </c>
      <c r="G14">
        <v>117</v>
      </c>
    </row>
    <row r="15" spans="1:7" x14ac:dyDescent="0.35">
      <c r="B15" t="s">
        <v>13</v>
      </c>
      <c r="C15">
        <v>0.17482263239736898</v>
      </c>
      <c r="D15" s="1">
        <v>0.22009999999999999</v>
      </c>
      <c r="E15">
        <v>253.4</v>
      </c>
      <c r="F15">
        <v>-0.13700000000000001</v>
      </c>
    </row>
    <row r="16" spans="1:7" x14ac:dyDescent="0.35">
      <c r="B16" t="s">
        <v>19</v>
      </c>
      <c r="E16">
        <v>359</v>
      </c>
    </row>
    <row r="18" spans="2:6" x14ac:dyDescent="0.35">
      <c r="C18" t="s">
        <v>24</v>
      </c>
      <c r="D18" t="s">
        <v>5</v>
      </c>
      <c r="E18" t="s">
        <v>12</v>
      </c>
      <c r="F18" t="s">
        <v>23</v>
      </c>
    </row>
    <row r="19" spans="2:6" x14ac:dyDescent="0.35">
      <c r="B19" t="s">
        <v>6</v>
      </c>
      <c r="C19" s="2">
        <v>13.48655727</v>
      </c>
      <c r="D19">
        <f>D6</f>
        <v>0.374</v>
      </c>
      <c r="E19">
        <f>D14</f>
        <v>0.318</v>
      </c>
    </row>
    <row r="20" spans="2:6" x14ac:dyDescent="0.35">
      <c r="B20" t="s">
        <v>7</v>
      </c>
      <c r="C20" s="2">
        <v>14.58223203</v>
      </c>
      <c r="D20">
        <f>D5</f>
        <v>0.40799999999999997</v>
      </c>
      <c r="E20">
        <f>D11</f>
        <v>0.379</v>
      </c>
    </row>
    <row r="21" spans="2:6" x14ac:dyDescent="0.35">
      <c r="B21" t="s">
        <v>8</v>
      </c>
      <c r="C21" s="2">
        <v>61.985700940000001</v>
      </c>
      <c r="D21">
        <f>D4</f>
        <v>0.442</v>
      </c>
      <c r="E21">
        <f>D9</f>
        <v>0.40100000000000002</v>
      </c>
    </row>
    <row r="22" spans="2:6" x14ac:dyDescent="0.35">
      <c r="B22" t="s">
        <v>9</v>
      </c>
      <c r="C22" s="2">
        <v>38.822217160000001</v>
      </c>
      <c r="D22">
        <f>D2</f>
        <v>0.46700000000000003</v>
      </c>
      <c r="E22">
        <f>D10</f>
        <v>0.39100000000000001</v>
      </c>
    </row>
    <row r="23" spans="2:6" x14ac:dyDescent="0.35">
      <c r="B23" t="s">
        <v>10</v>
      </c>
      <c r="C23" s="2">
        <v>40.82876701</v>
      </c>
      <c r="D23">
        <f>D3</f>
        <v>0.46300000000000002</v>
      </c>
      <c r="E23">
        <f>D13</f>
        <v>0.35099999999999998</v>
      </c>
    </row>
    <row r="25" spans="2:6" x14ac:dyDescent="0.35">
      <c r="D25" t="s">
        <v>5</v>
      </c>
      <c r="E25" t="s">
        <v>12</v>
      </c>
    </row>
    <row r="26" spans="2:6" x14ac:dyDescent="0.35">
      <c r="B26" t="s">
        <v>6</v>
      </c>
      <c r="C26" s="2">
        <v>13.48655727</v>
      </c>
      <c r="D26">
        <f>E6</f>
        <v>346.6</v>
      </c>
      <c r="E26">
        <f>E14</f>
        <v>298.39999999999998</v>
      </c>
      <c r="F26" s="3">
        <f>C14</f>
        <v>0.20128612370691801</v>
      </c>
    </row>
    <row r="27" spans="2:6" x14ac:dyDescent="0.35">
      <c r="B27" t="s">
        <v>7</v>
      </c>
      <c r="C27" s="2">
        <v>14.58223203</v>
      </c>
      <c r="D27">
        <f>E5</f>
        <v>371.6</v>
      </c>
      <c r="E27">
        <f>E11</f>
        <v>270.7</v>
      </c>
      <c r="F27" s="3">
        <f>C11</f>
        <v>0.31836085952235299</v>
      </c>
    </row>
    <row r="28" spans="2:6" x14ac:dyDescent="0.35">
      <c r="B28" t="s">
        <v>8</v>
      </c>
      <c r="C28" s="2">
        <v>61.985700940000001</v>
      </c>
      <c r="D28">
        <f>E4</f>
        <v>314</v>
      </c>
      <c r="E28">
        <f>E9</f>
        <v>257.05</v>
      </c>
      <c r="F28" s="3">
        <f>C9</f>
        <v>0.27749155771600498</v>
      </c>
    </row>
    <row r="29" spans="2:6" x14ac:dyDescent="0.35">
      <c r="B29" t="s">
        <v>9</v>
      </c>
      <c r="C29" s="2">
        <v>38.822217160000001</v>
      </c>
      <c r="D29">
        <f>E2</f>
        <v>340.8</v>
      </c>
      <c r="E29">
        <f>E10</f>
        <v>295.01</v>
      </c>
      <c r="F29" s="3">
        <f>C10</f>
        <v>0.25666775391575802</v>
      </c>
    </row>
    <row r="30" spans="2:6" x14ac:dyDescent="0.35">
      <c r="B30" t="s">
        <v>10</v>
      </c>
      <c r="C30" s="2">
        <v>40.82876701</v>
      </c>
      <c r="D30">
        <f>E3</f>
        <v>292.7</v>
      </c>
      <c r="E30">
        <f>E13</f>
        <v>240.74</v>
      </c>
      <c r="F30" s="3">
        <f>C13</f>
        <v>0.43841542505719</v>
      </c>
    </row>
    <row r="32" spans="2:6" x14ac:dyDescent="0.35">
      <c r="C32" t="s">
        <v>24</v>
      </c>
      <c r="D32" t="s">
        <v>16</v>
      </c>
      <c r="E32" t="s">
        <v>22</v>
      </c>
      <c r="F32" t="s">
        <v>26</v>
      </c>
    </row>
    <row r="33" spans="2:6" x14ac:dyDescent="0.35">
      <c r="B33" t="s">
        <v>17</v>
      </c>
      <c r="D33">
        <v>351</v>
      </c>
    </row>
    <row r="34" spans="2:6" x14ac:dyDescent="0.35">
      <c r="B34" t="s">
        <v>18</v>
      </c>
      <c r="D34">
        <v>346</v>
      </c>
    </row>
    <row r="35" spans="2:6" x14ac:dyDescent="0.35">
      <c r="B35" t="s">
        <v>19</v>
      </c>
      <c r="D35">
        <v>206</v>
      </c>
      <c r="E35">
        <f>E8</f>
        <v>286</v>
      </c>
      <c r="F35">
        <f>E16</f>
        <v>359</v>
      </c>
    </row>
    <row r="36" spans="2:6" x14ac:dyDescent="0.35">
      <c r="B36" t="s">
        <v>20</v>
      </c>
      <c r="D36">
        <v>361</v>
      </c>
    </row>
    <row r="37" spans="2:6" x14ac:dyDescent="0.35">
      <c r="B37" t="s">
        <v>9</v>
      </c>
      <c r="D37">
        <v>263</v>
      </c>
      <c r="E37">
        <f>D29</f>
        <v>340.8</v>
      </c>
      <c r="F37">
        <f>E29</f>
        <v>295.01</v>
      </c>
    </row>
    <row r="38" spans="2:6" x14ac:dyDescent="0.35">
      <c r="B38" t="s">
        <v>21</v>
      </c>
      <c r="D38">
        <v>186.9</v>
      </c>
    </row>
    <row r="39" spans="2:6" x14ac:dyDescent="0.35">
      <c r="B39" t="s">
        <v>7</v>
      </c>
      <c r="D39">
        <v>337</v>
      </c>
      <c r="E39">
        <f>D27</f>
        <v>371.6</v>
      </c>
      <c r="F39">
        <f>E27</f>
        <v>270.7</v>
      </c>
    </row>
    <row r="40" spans="2:6" x14ac:dyDescent="0.35">
      <c r="B40" t="s">
        <v>8</v>
      </c>
      <c r="D40">
        <v>189.6</v>
      </c>
      <c r="E40">
        <f>D28</f>
        <v>314</v>
      </c>
      <c r="F40">
        <f>E28</f>
        <v>257.05</v>
      </c>
    </row>
    <row r="41" spans="2:6" x14ac:dyDescent="0.35">
      <c r="B41" t="s">
        <v>6</v>
      </c>
      <c r="D41">
        <v>198</v>
      </c>
      <c r="E41">
        <f>D26</f>
        <v>346.6</v>
      </c>
      <c r="F41">
        <f>E26</f>
        <v>298.39999999999998</v>
      </c>
    </row>
    <row r="42" spans="2:6" x14ac:dyDescent="0.35">
      <c r="B42" t="s">
        <v>10</v>
      </c>
      <c r="D42">
        <f>D66</f>
        <v>161.5</v>
      </c>
      <c r="E42">
        <f>E3</f>
        <v>292.7</v>
      </c>
      <c r="F42">
        <f>E13</f>
        <v>240.74</v>
      </c>
    </row>
    <row r="43" spans="2:6" x14ac:dyDescent="0.35">
      <c r="B43" t="s">
        <v>11</v>
      </c>
      <c r="D43">
        <f>D68</f>
        <v>166.5</v>
      </c>
      <c r="E43">
        <f>E7</f>
        <v>257.7</v>
      </c>
      <c r="F43">
        <v>251.1</v>
      </c>
    </row>
    <row r="45" spans="2:6" x14ac:dyDescent="0.35">
      <c r="B45" t="s">
        <v>3</v>
      </c>
      <c r="D45" t="s">
        <v>16</v>
      </c>
    </row>
    <row r="46" spans="2:6" x14ac:dyDescent="0.35">
      <c r="B46" t="s">
        <v>7</v>
      </c>
      <c r="C46" s="4">
        <v>0.1458223203</v>
      </c>
      <c r="D46" s="4">
        <v>8.0799999999999997E-2</v>
      </c>
    </row>
    <row r="47" spans="2:6" x14ac:dyDescent="0.35">
      <c r="B47" t="s">
        <v>20</v>
      </c>
      <c r="C47" s="4">
        <v>0.34598979030000004</v>
      </c>
      <c r="D47" s="4">
        <v>9.6000000000000002E-2</v>
      </c>
    </row>
    <row r="48" spans="2:6" x14ac:dyDescent="0.35">
      <c r="B48" t="s">
        <v>21</v>
      </c>
      <c r="C48" s="4">
        <v>0.6619802722</v>
      </c>
      <c r="D48" s="4">
        <v>0.13</v>
      </c>
    </row>
    <row r="49" spans="2:4" x14ac:dyDescent="0.35">
      <c r="B49" t="s">
        <v>18</v>
      </c>
      <c r="C49" s="4">
        <v>9.5516059779999996E-2</v>
      </c>
      <c r="D49" s="4">
        <v>0.14710000000000001</v>
      </c>
    </row>
    <row r="50" spans="2:4" x14ac:dyDescent="0.35">
      <c r="B50" t="s">
        <v>9</v>
      </c>
      <c r="C50" s="4">
        <v>0.3882221716</v>
      </c>
      <c r="D50" s="4">
        <v>0.17499999999999999</v>
      </c>
    </row>
    <row r="51" spans="2:4" x14ac:dyDescent="0.35">
      <c r="B51" t="s">
        <v>17</v>
      </c>
      <c r="C51" s="4">
        <v>3.256659931E-2</v>
      </c>
      <c r="D51" s="4">
        <v>0.21759999999999999</v>
      </c>
    </row>
    <row r="52" spans="2:4" x14ac:dyDescent="0.35">
      <c r="B52" t="s">
        <v>8</v>
      </c>
      <c r="C52" s="4">
        <v>0.61985700939999999</v>
      </c>
      <c r="D52" s="4">
        <v>0.36820000000000003</v>
      </c>
    </row>
    <row r="53" spans="2:4" x14ac:dyDescent="0.35">
      <c r="B53" t="s">
        <v>19</v>
      </c>
      <c r="C53" s="4">
        <v>7.7682684299999999E-2</v>
      </c>
      <c r="D53" s="4">
        <v>0.37040000000000001</v>
      </c>
    </row>
    <row r="54" spans="2:4" x14ac:dyDescent="0.35">
      <c r="B54" t="s">
        <v>10</v>
      </c>
      <c r="C54" s="4">
        <f>C3</f>
        <v>0.4082876701</v>
      </c>
      <c r="D54" s="4">
        <v>0.45</v>
      </c>
    </row>
    <row r="55" spans="2:4" x14ac:dyDescent="0.35">
      <c r="B55" t="s">
        <v>6</v>
      </c>
      <c r="C55" s="4">
        <v>0.13486557269999999</v>
      </c>
      <c r="D55" s="4">
        <v>0.57399999999999995</v>
      </c>
    </row>
    <row r="56" spans="2:4" x14ac:dyDescent="0.35">
      <c r="B56" t="s">
        <v>11</v>
      </c>
      <c r="C56">
        <f>C7</f>
        <v>7.1747951170000004E-2</v>
      </c>
      <c r="D56" s="4">
        <v>0.57750000000000001</v>
      </c>
    </row>
    <row r="58" spans="2:4" x14ac:dyDescent="0.35">
      <c r="B58" t="s">
        <v>7</v>
      </c>
      <c r="C58" s="2">
        <v>14.58223203</v>
      </c>
      <c r="D58">
        <f>VLOOKUP(B58,$B$33:$D$41,3,0)</f>
        <v>337</v>
      </c>
    </row>
    <row r="59" spans="2:4" x14ac:dyDescent="0.35">
      <c r="B59" t="s">
        <v>20</v>
      </c>
      <c r="C59" s="2">
        <v>34.598979030000002</v>
      </c>
      <c r="D59">
        <f t="shared" ref="D59:D67" si="0">VLOOKUP(B59,$B$33:$D$41,3,0)</f>
        <v>361</v>
      </c>
    </row>
    <row r="60" spans="2:4" x14ac:dyDescent="0.35">
      <c r="B60" t="s">
        <v>21</v>
      </c>
      <c r="C60" s="2">
        <v>66.19802722</v>
      </c>
      <c r="D60">
        <f t="shared" si="0"/>
        <v>186.9</v>
      </c>
    </row>
    <row r="61" spans="2:4" x14ac:dyDescent="0.35">
      <c r="B61" t="s">
        <v>18</v>
      </c>
      <c r="C61" s="2">
        <v>9.5516059779999996</v>
      </c>
      <c r="D61">
        <f t="shared" si="0"/>
        <v>346</v>
      </c>
    </row>
    <row r="62" spans="2:4" x14ac:dyDescent="0.35">
      <c r="B62" t="s">
        <v>9</v>
      </c>
      <c r="C62" s="2">
        <v>38.822217160000001</v>
      </c>
      <c r="D62">
        <f t="shared" si="0"/>
        <v>263</v>
      </c>
    </row>
    <row r="63" spans="2:4" x14ac:dyDescent="0.35">
      <c r="B63" t="s">
        <v>17</v>
      </c>
      <c r="C63" s="2">
        <v>3.2566599309999997</v>
      </c>
      <c r="D63">
        <f t="shared" si="0"/>
        <v>351</v>
      </c>
    </row>
    <row r="64" spans="2:4" x14ac:dyDescent="0.35">
      <c r="B64" t="s">
        <v>8</v>
      </c>
      <c r="C64" s="2">
        <v>61.985700940000001</v>
      </c>
      <c r="D64">
        <f t="shared" si="0"/>
        <v>189.6</v>
      </c>
    </row>
    <row r="65" spans="2:4" x14ac:dyDescent="0.35">
      <c r="B65" t="s">
        <v>19</v>
      </c>
      <c r="C65" s="2">
        <v>7.76826843</v>
      </c>
      <c r="D65">
        <f t="shared" si="0"/>
        <v>206</v>
      </c>
    </row>
    <row r="66" spans="2:4" x14ac:dyDescent="0.35">
      <c r="B66" t="s">
        <v>10</v>
      </c>
      <c r="C66" s="2">
        <f>C54*100</f>
        <v>40.82876701</v>
      </c>
      <c r="D66">
        <v>161.5</v>
      </c>
    </row>
    <row r="67" spans="2:4" x14ac:dyDescent="0.35">
      <c r="B67" t="s">
        <v>6</v>
      </c>
      <c r="C67" s="2">
        <v>13.486557269999999</v>
      </c>
      <c r="D67">
        <f t="shared" si="0"/>
        <v>198</v>
      </c>
    </row>
    <row r="68" spans="2:4" x14ac:dyDescent="0.35">
      <c r="B68" t="s">
        <v>11</v>
      </c>
      <c r="C68" s="2">
        <f>C56*100</f>
        <v>7.1747951170000004</v>
      </c>
      <c r="D68">
        <v>166.5</v>
      </c>
    </row>
    <row r="77" spans="2:4" x14ac:dyDescent="0.35">
      <c r="B77" t="s">
        <v>3</v>
      </c>
      <c r="D77" t="s">
        <v>16</v>
      </c>
    </row>
    <row r="78" spans="2:4" x14ac:dyDescent="0.35">
      <c r="B78" t="s">
        <v>18</v>
      </c>
      <c r="D78" s="4">
        <f>VLOOKUP(B78,$B$46:$D$56,3,0)</f>
        <v>0.14710000000000001</v>
      </c>
    </row>
    <row r="79" spans="2:4" x14ac:dyDescent="0.35">
      <c r="B79" t="s">
        <v>20</v>
      </c>
      <c r="D79" s="4">
        <f t="shared" ref="D79:D87" si="1">VLOOKUP(B79,$B$46:$D$56,3,0)</f>
        <v>9.6000000000000002E-2</v>
      </c>
    </row>
    <row r="80" spans="2:4" x14ac:dyDescent="0.35">
      <c r="B80" t="s">
        <v>17</v>
      </c>
      <c r="D80" s="4">
        <f t="shared" si="1"/>
        <v>0.21759999999999999</v>
      </c>
    </row>
    <row r="81" spans="1:5" x14ac:dyDescent="0.35">
      <c r="B81" t="s">
        <v>19</v>
      </c>
      <c r="D81" s="4">
        <f t="shared" si="1"/>
        <v>0.37040000000000001</v>
      </c>
    </row>
    <row r="82" spans="1:5" x14ac:dyDescent="0.35">
      <c r="B82" t="s">
        <v>21</v>
      </c>
      <c r="D82" s="4">
        <f t="shared" si="1"/>
        <v>0.13</v>
      </c>
    </row>
    <row r="83" spans="1:5" x14ac:dyDescent="0.35">
      <c r="B83" t="s">
        <v>6</v>
      </c>
      <c r="D83" s="4">
        <f t="shared" si="1"/>
        <v>0.57399999999999995</v>
      </c>
    </row>
    <row r="84" spans="1:5" x14ac:dyDescent="0.35">
      <c r="B84" t="s">
        <v>7</v>
      </c>
      <c r="D84" s="4">
        <f t="shared" si="1"/>
        <v>8.0799999999999997E-2</v>
      </c>
    </row>
    <row r="85" spans="1:5" x14ac:dyDescent="0.35">
      <c r="B85" t="s">
        <v>8</v>
      </c>
      <c r="D85" s="4">
        <f t="shared" si="1"/>
        <v>0.36820000000000003</v>
      </c>
    </row>
    <row r="86" spans="1:5" x14ac:dyDescent="0.35">
      <c r="B86" t="s">
        <v>9</v>
      </c>
      <c r="D86" s="4">
        <f t="shared" si="1"/>
        <v>0.17499999999999999</v>
      </c>
    </row>
    <row r="87" spans="1:5" x14ac:dyDescent="0.35">
      <c r="B87" t="s">
        <v>10</v>
      </c>
      <c r="D87" s="4">
        <f t="shared" si="1"/>
        <v>0.45</v>
      </c>
    </row>
    <row r="88" spans="1:5" x14ac:dyDescent="0.35">
      <c r="B88" t="s">
        <v>11</v>
      </c>
      <c r="D88" s="4">
        <f>VLOOKUP(B88,$B$46:$D$56,3,0)</f>
        <v>0.57750000000000001</v>
      </c>
    </row>
    <row r="90" spans="1:5" x14ac:dyDescent="0.35">
      <c r="C90" t="s">
        <v>31</v>
      </c>
      <c r="D90" s="4">
        <f>AVERAGE(D77:D88)</f>
        <v>0.28969090909090911</v>
      </c>
      <c r="E90" s="4">
        <f>_xlfn.STDEV.P(D78:D88)/SQRT(COUNT(D78:D88))</f>
        <v>5.3580742276494009E-2</v>
      </c>
    </row>
    <row r="94" spans="1:5" x14ac:dyDescent="0.35">
      <c r="A94" t="s">
        <v>28</v>
      </c>
      <c r="B94" t="s">
        <v>18</v>
      </c>
      <c r="C94" s="3">
        <f>VLOOKUP(B94,$B$58:$D$68,2,0)</f>
        <v>9.5516059779999996</v>
      </c>
      <c r="D94" s="2">
        <f t="shared" ref="D94:D104" si="2">VLOOKUP(B94,$B$58:$D$68,3,0)</f>
        <v>346</v>
      </c>
    </row>
    <row r="95" spans="1:5" x14ac:dyDescent="0.35">
      <c r="B95" t="s">
        <v>20</v>
      </c>
      <c r="C95" s="3">
        <f t="shared" ref="C95:C104" si="3">VLOOKUP(B95,$B$58:$D$68,2,0)</f>
        <v>34.598979030000002</v>
      </c>
      <c r="D95" s="2">
        <f t="shared" si="2"/>
        <v>361</v>
      </c>
    </row>
    <row r="96" spans="1:5" x14ac:dyDescent="0.35">
      <c r="B96" t="s">
        <v>17</v>
      </c>
      <c r="C96" s="3">
        <f t="shared" si="3"/>
        <v>3.2566599309999997</v>
      </c>
      <c r="D96" s="2">
        <f t="shared" si="2"/>
        <v>351</v>
      </c>
    </row>
    <row r="97" spans="1:4" x14ac:dyDescent="0.35">
      <c r="B97" t="s">
        <v>19</v>
      </c>
      <c r="C97" s="3">
        <f t="shared" si="3"/>
        <v>7.76826843</v>
      </c>
      <c r="D97" s="2">
        <f t="shared" si="2"/>
        <v>206</v>
      </c>
    </row>
    <row r="98" spans="1:4" x14ac:dyDescent="0.35">
      <c r="A98" t="s">
        <v>27</v>
      </c>
      <c r="B98" t="s">
        <v>21</v>
      </c>
      <c r="C98" s="3">
        <f t="shared" si="3"/>
        <v>66.19802722</v>
      </c>
      <c r="D98" s="2">
        <f t="shared" si="2"/>
        <v>186.9</v>
      </c>
    </row>
    <row r="99" spans="1:4" x14ac:dyDescent="0.35">
      <c r="B99" t="s">
        <v>6</v>
      </c>
      <c r="C99" s="3">
        <f t="shared" si="3"/>
        <v>13.486557269999999</v>
      </c>
      <c r="D99" s="2">
        <f t="shared" si="2"/>
        <v>198</v>
      </c>
    </row>
    <row r="100" spans="1:4" x14ac:dyDescent="0.35">
      <c r="B100" t="s">
        <v>7</v>
      </c>
      <c r="C100" s="3">
        <f t="shared" si="3"/>
        <v>14.58223203</v>
      </c>
      <c r="D100" s="2">
        <f t="shared" si="2"/>
        <v>337</v>
      </c>
    </row>
    <row r="101" spans="1:4" x14ac:dyDescent="0.35">
      <c r="B101" t="s">
        <v>8</v>
      </c>
      <c r="C101" s="3">
        <f t="shared" si="3"/>
        <v>61.985700940000001</v>
      </c>
      <c r="D101" s="2">
        <f t="shared" si="2"/>
        <v>189.6</v>
      </c>
    </row>
    <row r="102" spans="1:4" x14ac:dyDescent="0.35">
      <c r="A102" t="s">
        <v>29</v>
      </c>
      <c r="B102" t="s">
        <v>9</v>
      </c>
      <c r="C102" s="3">
        <f t="shared" si="3"/>
        <v>38.822217160000001</v>
      </c>
      <c r="D102" s="2">
        <f t="shared" si="2"/>
        <v>263</v>
      </c>
    </row>
    <row r="103" spans="1:4" x14ac:dyDescent="0.35">
      <c r="B103" t="s">
        <v>10</v>
      </c>
      <c r="C103" s="3">
        <f t="shared" si="3"/>
        <v>40.82876701</v>
      </c>
      <c r="D103" s="2">
        <f t="shared" si="2"/>
        <v>161.5</v>
      </c>
    </row>
    <row r="104" spans="1:4" x14ac:dyDescent="0.35">
      <c r="B104" t="s">
        <v>11</v>
      </c>
      <c r="C104" s="3">
        <f t="shared" si="3"/>
        <v>7.1747951170000004</v>
      </c>
      <c r="D104" s="2">
        <f t="shared" si="2"/>
        <v>166.5</v>
      </c>
    </row>
    <row r="105" spans="1:4" x14ac:dyDescent="0.35">
      <c r="D105" s="2"/>
    </row>
  </sheetData>
  <autoFilter ref="A45:G45" xr:uid="{00000000-0001-0000-0000-000000000000}">
    <sortState xmlns:xlrd2="http://schemas.microsoft.com/office/spreadsheetml/2017/richdata2" ref="A46:G54">
      <sortCondition ref="D45"/>
    </sortState>
  </autoFilter>
  <conditionalFormatting sqref="B98:B100">
    <cfRule type="duplicateValues" dxfId="1" priority="4"/>
  </conditionalFormatting>
  <conditionalFormatting sqref="B82:B84">
    <cfRule type="duplicateValues" dxfId="0" priority="1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Yuval</dc:creator>
  <cp:lastModifiedBy>samoilov yuval</cp:lastModifiedBy>
  <dcterms:created xsi:type="dcterms:W3CDTF">2015-06-05T18:17:20Z</dcterms:created>
  <dcterms:modified xsi:type="dcterms:W3CDTF">2026-03-24T17:30:46Z</dcterms:modified>
</cp:coreProperties>
</file>
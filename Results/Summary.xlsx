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ml.chartshapes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4.xml" ContentType="application/vnd.openxmlformats-officedocument.drawingml.chartshapes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biu365-my.sharepoint.com/personal/samoily_biu_ac_il/Documents/Academic/Postdoc/Multiplexed analyses/IMC/Results/"/>
    </mc:Choice>
  </mc:AlternateContent>
  <xr:revisionPtr revIDLastSave="308" documentId="11_F25DC773A252ABDACC1048A339584C225BDE58E6" xr6:coauthVersionLast="47" xr6:coauthVersionMax="47" xr10:uidLastSave="{55F4EEC6-A72E-4AB7-BEB7-71FF0A48E79E}"/>
  <bookViews>
    <workbookView xWindow="-110" yWindow="-110" windowWidth="19420" windowHeight="10300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Sheet1!$A$45:$J$45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5" i="2" l="1"/>
  <c r="D15" i="2"/>
  <c r="C15" i="2"/>
  <c r="E32" i="2"/>
  <c r="D32" i="2"/>
  <c r="C32" i="2"/>
  <c r="C31" i="2"/>
  <c r="D31" i="2"/>
  <c r="E31" i="2"/>
  <c r="E14" i="2"/>
  <c r="D14" i="2"/>
  <c r="C14" i="2"/>
  <c r="K90" i="1"/>
  <c r="I106" i="1"/>
  <c r="I91" i="1"/>
  <c r="I90" i="1"/>
  <c r="H107" i="1"/>
  <c r="H106" i="1"/>
  <c r="H91" i="1"/>
  <c r="H90" i="1"/>
  <c r="G91" i="1"/>
  <c r="G90" i="1"/>
  <c r="G106" i="1"/>
  <c r="G107" i="1"/>
  <c r="D90" i="1"/>
  <c r="K79" i="1"/>
  <c r="K78" i="1"/>
  <c r="F90" i="1"/>
  <c r="F106" i="1"/>
  <c r="E106" i="1"/>
  <c r="D106" i="1"/>
  <c r="F107" i="1"/>
  <c r="E107" i="1"/>
  <c r="D107" i="1"/>
  <c r="F91" i="1"/>
  <c r="E90" i="1"/>
  <c r="K95" i="1"/>
  <c r="K96" i="1"/>
  <c r="K97" i="1"/>
  <c r="K98" i="1"/>
  <c r="K99" i="1"/>
  <c r="K100" i="1"/>
  <c r="K101" i="1"/>
  <c r="K102" i="1"/>
  <c r="K103" i="1"/>
  <c r="K104" i="1"/>
  <c r="K94" i="1"/>
  <c r="K80" i="1"/>
  <c r="K81" i="1"/>
  <c r="K82" i="1"/>
  <c r="K83" i="1"/>
  <c r="K84" i="1"/>
  <c r="K85" i="1"/>
  <c r="K86" i="1"/>
  <c r="K87" i="1"/>
  <c r="K88" i="1"/>
  <c r="E91" i="1"/>
  <c r="D91" i="1"/>
  <c r="J95" i="1"/>
  <c r="J96" i="1"/>
  <c r="J97" i="1"/>
  <c r="J98" i="1"/>
  <c r="J99" i="1"/>
  <c r="J100" i="1"/>
  <c r="J101" i="1"/>
  <c r="J102" i="1"/>
  <c r="J103" i="1"/>
  <c r="J104" i="1"/>
  <c r="J94" i="1"/>
  <c r="J79" i="1"/>
  <c r="J80" i="1"/>
  <c r="J81" i="1"/>
  <c r="J82" i="1"/>
  <c r="J83" i="1"/>
  <c r="J84" i="1"/>
  <c r="J85" i="1"/>
  <c r="J86" i="1"/>
  <c r="J87" i="1"/>
  <c r="J88" i="1"/>
  <c r="J78" i="1"/>
  <c r="F35" i="1"/>
  <c r="E35" i="1"/>
  <c r="C94" i="1"/>
  <c r="C95" i="1"/>
  <c r="C96" i="1"/>
  <c r="C97" i="1"/>
  <c r="C98" i="1"/>
  <c r="C99" i="1"/>
  <c r="C100" i="1"/>
  <c r="C101" i="1"/>
  <c r="C102" i="1"/>
  <c r="F42" i="1"/>
  <c r="E43" i="1"/>
  <c r="E42" i="1"/>
  <c r="D42" i="1"/>
  <c r="D43" i="1"/>
  <c r="C56" i="1"/>
  <c r="C68" i="1" s="1"/>
  <c r="C104" i="1" s="1"/>
  <c r="C54" i="1"/>
  <c r="C66" i="1" s="1"/>
  <c r="C103" i="1" s="1"/>
  <c r="D59" i="1"/>
  <c r="D60" i="1"/>
  <c r="D61" i="1"/>
  <c r="D62" i="1"/>
  <c r="D63" i="1"/>
  <c r="D64" i="1"/>
  <c r="D65" i="1"/>
  <c r="D67" i="1"/>
  <c r="D58" i="1"/>
  <c r="F30" i="1"/>
  <c r="F29" i="1"/>
  <c r="F28" i="1"/>
  <c r="F27" i="1"/>
  <c r="F26" i="1"/>
  <c r="D30" i="1"/>
  <c r="D29" i="1"/>
  <c r="E37" i="1" s="1"/>
  <c r="D28" i="1"/>
  <c r="E40" i="1" s="1"/>
  <c r="D27" i="1"/>
  <c r="E39" i="1" s="1"/>
  <c r="D26" i="1"/>
  <c r="E41" i="1" s="1"/>
  <c r="E30" i="1"/>
  <c r="E29" i="1"/>
  <c r="F37" i="1" s="1"/>
  <c r="E28" i="1"/>
  <c r="F40" i="1" s="1"/>
  <c r="E27" i="1"/>
  <c r="F39" i="1" s="1"/>
  <c r="E26" i="1"/>
  <c r="F41" i="1" s="1"/>
  <c r="D23" i="1"/>
  <c r="D22" i="1"/>
  <c r="E19" i="1" s="1"/>
  <c r="D21" i="1"/>
  <c r="D20" i="1"/>
  <c r="D19" i="1"/>
  <c r="E23" i="1"/>
  <c r="E22" i="1"/>
  <c r="E21" i="1"/>
  <c r="E20" i="1"/>
  <c r="J90" i="1" l="1"/>
  <c r="J91" i="1"/>
  <c r="K91" i="1"/>
</calcChain>
</file>

<file path=xl/sharedStrings.xml><?xml version="1.0" encoding="utf-8"?>
<sst xmlns="http://schemas.openxmlformats.org/spreadsheetml/2006/main" count="175" uniqueCount="72">
  <si>
    <t>Dataset</t>
  </si>
  <si>
    <t>Marker</t>
  </si>
  <si>
    <t>RMSE</t>
  </si>
  <si>
    <t>Corr</t>
  </si>
  <si>
    <t>FID</t>
  </si>
  <si>
    <t>Danenberg</t>
  </si>
  <si>
    <t>Pan-CK</t>
  </si>
  <si>
    <t>CK5</t>
  </si>
  <si>
    <t>CK8-18</t>
  </si>
  <si>
    <t>Ki67</t>
  </si>
  <si>
    <t>HER2</t>
  </si>
  <si>
    <t>ERa</t>
  </si>
  <si>
    <t>Jackson</t>
  </si>
  <si>
    <t>H3K27me</t>
  </si>
  <si>
    <t>pHH3</t>
  </si>
  <si>
    <t>Train time (min)</t>
  </si>
  <si>
    <t>J2D</t>
  </si>
  <si>
    <t>CD20</t>
  </si>
  <si>
    <t>CD3</t>
  </si>
  <si>
    <t>CD45</t>
  </si>
  <si>
    <t>CD68</t>
  </si>
  <si>
    <t>sma</t>
  </si>
  <si>
    <t>Dan. (full)</t>
  </si>
  <si>
    <t>J - % area</t>
  </si>
  <si>
    <t>D - % area</t>
  </si>
  <si>
    <t>% area</t>
  </si>
  <si>
    <t>Jack. (full)</t>
  </si>
  <si>
    <t>Identity</t>
  </si>
  <si>
    <t>Immune</t>
  </si>
  <si>
    <t>Clinical</t>
  </si>
  <si>
    <t>C45</t>
  </si>
  <si>
    <t>avg corr</t>
  </si>
  <si>
    <t>ΔPCA</t>
  </si>
  <si>
    <t>ΔPCA + Frozen conv1</t>
  </si>
  <si>
    <t>HyperConv</t>
  </si>
  <si>
    <t>Per marker</t>
  </si>
  <si>
    <t>Joint</t>
  </si>
  <si>
    <t>Avg.</t>
  </si>
  <si>
    <t>Joint Res-UNet</t>
  </si>
  <si>
    <t>ResUNet (PCA)</t>
  </si>
  <si>
    <t>Res-UNet</t>
  </si>
  <si>
    <t>Res-UNet (PCA-&gt; conv1)</t>
  </si>
  <si>
    <t>HyperConv + aug.</t>
  </si>
  <si>
    <t>Baseline</t>
  </si>
  <si>
    <t>ki_67</t>
  </si>
  <si>
    <t>cd20</t>
  </si>
  <si>
    <t>cd3</t>
  </si>
  <si>
    <t>cd45</t>
  </si>
  <si>
    <t>cd68</t>
  </si>
  <si>
    <t>Mean</t>
  </si>
  <si>
    <t>Correlation</t>
  </si>
  <si>
    <t>For each target marker, the remaining 10 shared non-control markers are used as inputs. Each input channel is preprocessed by fitting an SGDRegressor that predicts it from the 3 structural controls (Histone H3, DNA1, DNA2), then computing the arcsinh-transformed residual. These 10 residual channels are then jointly compressed to 3 PCA components (fitted on the training set) and z-scored in that 3D space. The 3-channel image is passed to a ResNet50-UNet with a randomly initialised first conv layer. A separate model is trained independently for each of the 11 target markers — 11 training runs total, each on Jackson2020, evaluated on Danenberg2022.</t>
  </si>
  <si>
    <t>Same regression residual preprocessing as the baseline — SGDRegressor per input channel, arcsinh of residuals — but the PCA compression is dropped. Each of the 10 residual channels is z-scored individually using training-set statistics, and all 10 are passed directly to a ResNet50-UNet with a 10-channel first conv layer. A single model is trained jointly on all 11 marker-prediction tasks: each training sample is an (image, target-marker) pair, and the model has no access to marker identity — it must infer what to predict from the input channel ordering alone.</t>
  </si>
  <si>
    <t>Identical input preprocessing to no_pca: same regression residuals, same arcsinh, same per-channel z-score, same 10 input channels. The only change is in the first layer: the fixed conv1 is replaced by a MarkerStem, a small hypernetwork that receives the vocabulary indices of the 10 input markers, looks up a learned embedding per marker, and projects each embedding into a 7×7 convolutional kernel. The 10 per-marker kernels are applied separately and summed, producing the same 64-channel feature map as the standard stem with matched parameter count. The rest of the architecture and joint training setup is identical to no_pca, but now the model knows which markers it is processing at each batch.</t>
  </si>
  <si>
    <t>Notes</t>
  </si>
  <si>
    <t>SEM</t>
  </si>
  <si>
    <t>ResNet50-UNet</t>
  </si>
  <si>
    <t>Per-marker model + PCA</t>
  </si>
  <si>
    <t>Joint model</t>
  </si>
  <si>
    <t>Joint model + HyperConv.</t>
  </si>
  <si>
    <t>KRTs</t>
  </si>
  <si>
    <t>KRT5</t>
  </si>
  <si>
    <t>KRT8-18</t>
  </si>
  <si>
    <t>Pan-KRT</t>
  </si>
  <si>
    <t xml:space="preserve">Joint </t>
  </si>
  <si>
    <t>Joint + HyperConv.</t>
  </si>
  <si>
    <t>Per-marker + PCA</t>
  </si>
  <si>
    <t>Markers</t>
  </si>
  <si>
    <t>Str.</t>
  </si>
  <si>
    <t>Good (r &gt; 0.35): ERa, HER2, pan_cytokeratin, cd45, cytokeratin_8_18 — abundant, high-dynamic-range markers</t>
  </si>
  <si>
    <t>Bad (r &lt; 0.2): cytokeratin_5, cd68, ki_67, cd20, cd3 — sparse or weakly expressed markers dominated by background</t>
  </si>
  <si>
    <t xml:space="preserve">Cross-dataset generalisation from Jackson→Danenberg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</si>
</sst>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65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0" xfId="0" applyFill="1"/>
    <xf numFmtId="164" fontId="0" fillId="0" borderId="0" xfId="0" applyNumberFormat="1" applyFill="1"/>
    <xf numFmtId="2" fontId="0" fillId="0" borderId="0" xfId="0" applyNumberFormat="1" applyFill="1"/>
    <xf numFmtId="0" fontId="1" fillId="0" borderId="1" xfId="0" applyFont="1" applyBorder="1"/>
    <xf numFmtId="165" fontId="1" fillId="0" borderId="1" xfId="0" applyNumberFormat="1" applyFont="1" applyBorder="1"/>
    <xf numFmtId="2" fontId="1" fillId="0" borderId="1" xfId="0" applyNumberFormat="1" applyFont="1" applyBorder="1"/>
    <xf numFmtId="0" fontId="2" fillId="0" borderId="0" xfId="0" applyFont="1"/>
    <xf numFmtId="0" fontId="1" fillId="0" borderId="0" xfId="0" applyFont="1" applyBorder="1"/>
    <xf numFmtId="0" fontId="2" fillId="0" borderId="0" xfId="0" applyFont="1" applyAlignme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86052555281281"/>
          <c:y val="5.0925925925925923E-2"/>
          <c:w val="0.86004763888472158"/>
          <c:h val="0.560196943327058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Sheet2!$C$2</c:f>
              <c:strCache>
                <c:ptCount val="1"/>
                <c:pt idx="0">
                  <c:v>Per-marker + PCA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Sheet2!$A$20:$B$31</c:f>
              <c:multiLvlStrCache>
                <c:ptCount val="12"/>
                <c:lvl>
                  <c:pt idx="0">
                    <c:v>ERa</c:v>
                  </c:pt>
                  <c:pt idx="1">
                    <c:v>HER2</c:v>
                  </c:pt>
                  <c:pt idx="2">
                    <c:v>ki_67</c:v>
                  </c:pt>
                  <c:pt idx="3">
                    <c:v>Pan-KRT</c:v>
                  </c:pt>
                  <c:pt idx="4">
                    <c:v>KRT5</c:v>
                  </c:pt>
                  <c:pt idx="5">
                    <c:v>KRT8-18</c:v>
                  </c:pt>
                  <c:pt idx="6">
                    <c:v>sma</c:v>
                  </c:pt>
                  <c:pt idx="7">
                    <c:v>cd45</c:v>
                  </c:pt>
                  <c:pt idx="8">
                    <c:v>cd20</c:v>
                  </c:pt>
                  <c:pt idx="9">
                    <c:v>cd3</c:v>
                  </c:pt>
                  <c:pt idx="10">
                    <c:v>cd68</c:v>
                  </c:pt>
                  <c:pt idx="11">
                    <c:v>Markers</c:v>
                  </c:pt>
                </c:lvl>
                <c:lvl>
                  <c:pt idx="0">
                    <c:v>Clinical</c:v>
                  </c:pt>
                  <c:pt idx="3">
                    <c:v>KRTs</c:v>
                  </c:pt>
                  <c:pt idx="6">
                    <c:v>Str.</c:v>
                  </c:pt>
                  <c:pt idx="7">
                    <c:v>Immune</c:v>
                  </c:pt>
                  <c:pt idx="11">
                    <c:v>Avg.</c:v>
                  </c:pt>
                </c:lvl>
              </c:multiLvlStrCache>
            </c:multiLvlStrRef>
          </c:cat>
          <c:val>
            <c:numRef>
              <c:f>Sheet2!$C$20:$C$31</c:f>
              <c:numCache>
                <c:formatCode>0.00</c:formatCode>
                <c:ptCount val="12"/>
                <c:pt idx="0">
                  <c:v>0.57799999999999996</c:v>
                </c:pt>
                <c:pt idx="1">
                  <c:v>0.45</c:v>
                </c:pt>
                <c:pt idx="2">
                  <c:v>0.17499999999999999</c:v>
                </c:pt>
                <c:pt idx="3">
                  <c:v>0.57399999999999995</c:v>
                </c:pt>
                <c:pt idx="4">
                  <c:v>8.1000000000000003E-2</c:v>
                </c:pt>
                <c:pt idx="5">
                  <c:v>0.36799999999999999</c:v>
                </c:pt>
                <c:pt idx="6">
                  <c:v>0.13</c:v>
                </c:pt>
                <c:pt idx="7">
                  <c:v>0.37</c:v>
                </c:pt>
                <c:pt idx="8">
                  <c:v>0.218</c:v>
                </c:pt>
                <c:pt idx="9">
                  <c:v>0.14699999999999999</c:v>
                </c:pt>
                <c:pt idx="10">
                  <c:v>9.7000000000000003E-2</c:v>
                </c:pt>
                <c:pt idx="11">
                  <c:v>0.28981818181818181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54-4ABE-811E-127B1A05A0AC}"/>
            </c:ext>
          </c:extLst>
        </c:ser>
        <c:ser>
          <c:idx val="1"/>
          <c:order val="1"/>
          <c:tx>
            <c:strRef>
              <c:f>Sheet2!$D$2</c:f>
              <c:strCache>
                <c:ptCount val="1"/>
                <c:pt idx="0">
                  <c:v>Joint 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Sheet2!$A$20:$B$31</c:f>
              <c:multiLvlStrCache>
                <c:ptCount val="12"/>
                <c:lvl>
                  <c:pt idx="0">
                    <c:v>ERa</c:v>
                  </c:pt>
                  <c:pt idx="1">
                    <c:v>HER2</c:v>
                  </c:pt>
                  <c:pt idx="2">
                    <c:v>ki_67</c:v>
                  </c:pt>
                  <c:pt idx="3">
                    <c:v>Pan-KRT</c:v>
                  </c:pt>
                  <c:pt idx="4">
                    <c:v>KRT5</c:v>
                  </c:pt>
                  <c:pt idx="5">
                    <c:v>KRT8-18</c:v>
                  </c:pt>
                  <c:pt idx="6">
                    <c:v>sma</c:v>
                  </c:pt>
                  <c:pt idx="7">
                    <c:v>cd45</c:v>
                  </c:pt>
                  <c:pt idx="8">
                    <c:v>cd20</c:v>
                  </c:pt>
                  <c:pt idx="9">
                    <c:v>cd3</c:v>
                  </c:pt>
                  <c:pt idx="10">
                    <c:v>cd68</c:v>
                  </c:pt>
                  <c:pt idx="11">
                    <c:v>Markers</c:v>
                  </c:pt>
                </c:lvl>
                <c:lvl>
                  <c:pt idx="0">
                    <c:v>Clinical</c:v>
                  </c:pt>
                  <c:pt idx="3">
                    <c:v>KRTs</c:v>
                  </c:pt>
                  <c:pt idx="6">
                    <c:v>Str.</c:v>
                  </c:pt>
                  <c:pt idx="7">
                    <c:v>Immune</c:v>
                  </c:pt>
                  <c:pt idx="11">
                    <c:v>Avg.</c:v>
                  </c:pt>
                </c:lvl>
              </c:multiLvlStrCache>
            </c:multiLvlStrRef>
          </c:cat>
          <c:val>
            <c:numRef>
              <c:f>Sheet2!$D$20:$D$31</c:f>
              <c:numCache>
                <c:formatCode>0.00</c:formatCode>
                <c:ptCount val="12"/>
                <c:pt idx="0">
                  <c:v>0.58599999999999997</c:v>
                </c:pt>
                <c:pt idx="1">
                  <c:v>0.41499999999999998</c:v>
                </c:pt>
                <c:pt idx="2">
                  <c:v>0.111</c:v>
                </c:pt>
                <c:pt idx="3">
                  <c:v>0.13500000000000001</c:v>
                </c:pt>
                <c:pt idx="4">
                  <c:v>7.8E-2</c:v>
                </c:pt>
                <c:pt idx="5">
                  <c:v>0.39400000000000002</c:v>
                </c:pt>
                <c:pt idx="6">
                  <c:v>2.5999999999999999E-2</c:v>
                </c:pt>
                <c:pt idx="7">
                  <c:v>0.38600000000000001</c:v>
                </c:pt>
                <c:pt idx="8">
                  <c:v>0.188</c:v>
                </c:pt>
                <c:pt idx="9">
                  <c:v>0.15</c:v>
                </c:pt>
                <c:pt idx="10">
                  <c:v>0.16</c:v>
                </c:pt>
                <c:pt idx="11">
                  <c:v>0.23899999999999999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54-4ABE-811E-127B1A05A0AC}"/>
            </c:ext>
          </c:extLst>
        </c:ser>
        <c:ser>
          <c:idx val="2"/>
          <c:order val="2"/>
          <c:tx>
            <c:strRef>
              <c:f>Sheet2!$E$2</c:f>
              <c:strCache>
                <c:ptCount val="1"/>
                <c:pt idx="0">
                  <c:v>Joint + HyperConv.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Sheet2!$A$20:$B$31</c:f>
              <c:multiLvlStrCache>
                <c:ptCount val="12"/>
                <c:lvl>
                  <c:pt idx="0">
                    <c:v>ERa</c:v>
                  </c:pt>
                  <c:pt idx="1">
                    <c:v>HER2</c:v>
                  </c:pt>
                  <c:pt idx="2">
                    <c:v>ki_67</c:v>
                  </c:pt>
                  <c:pt idx="3">
                    <c:v>Pan-KRT</c:v>
                  </c:pt>
                  <c:pt idx="4">
                    <c:v>KRT5</c:v>
                  </c:pt>
                  <c:pt idx="5">
                    <c:v>KRT8-18</c:v>
                  </c:pt>
                  <c:pt idx="6">
                    <c:v>sma</c:v>
                  </c:pt>
                  <c:pt idx="7">
                    <c:v>cd45</c:v>
                  </c:pt>
                  <c:pt idx="8">
                    <c:v>cd20</c:v>
                  </c:pt>
                  <c:pt idx="9">
                    <c:v>cd3</c:v>
                  </c:pt>
                  <c:pt idx="10">
                    <c:v>cd68</c:v>
                  </c:pt>
                  <c:pt idx="11">
                    <c:v>Markers</c:v>
                  </c:pt>
                </c:lvl>
                <c:lvl>
                  <c:pt idx="0">
                    <c:v>Clinical</c:v>
                  </c:pt>
                  <c:pt idx="3">
                    <c:v>KRTs</c:v>
                  </c:pt>
                  <c:pt idx="6">
                    <c:v>Str.</c:v>
                  </c:pt>
                  <c:pt idx="7">
                    <c:v>Immune</c:v>
                  </c:pt>
                  <c:pt idx="11">
                    <c:v>Avg.</c:v>
                  </c:pt>
                </c:lvl>
              </c:multiLvlStrCache>
            </c:multiLvlStrRef>
          </c:cat>
          <c:val>
            <c:numRef>
              <c:f>Sheet2!$E$20:$E$31</c:f>
              <c:numCache>
                <c:formatCode>0.00</c:formatCode>
                <c:ptCount val="12"/>
                <c:pt idx="0">
                  <c:v>0.63600000000000001</c:v>
                </c:pt>
                <c:pt idx="1">
                  <c:v>0.41199999999999998</c:v>
                </c:pt>
                <c:pt idx="2">
                  <c:v>0.183</c:v>
                </c:pt>
                <c:pt idx="3">
                  <c:v>0.38900000000000001</c:v>
                </c:pt>
                <c:pt idx="4">
                  <c:v>0.124</c:v>
                </c:pt>
                <c:pt idx="5">
                  <c:v>0.253</c:v>
                </c:pt>
                <c:pt idx="6">
                  <c:v>0.39100000000000001</c:v>
                </c:pt>
                <c:pt idx="7">
                  <c:v>0.437</c:v>
                </c:pt>
                <c:pt idx="8">
                  <c:v>0.253</c:v>
                </c:pt>
                <c:pt idx="9">
                  <c:v>0.157</c:v>
                </c:pt>
                <c:pt idx="10">
                  <c:v>0.11899999999999999</c:v>
                </c:pt>
                <c:pt idx="11">
                  <c:v>0.30490909090909091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54-4ABE-811E-127B1A05A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3149647"/>
        <c:axId val="953150479"/>
      </c:barChart>
      <c:catAx>
        <c:axId val="95314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53150479"/>
        <c:crosses val="autoZero"/>
        <c:auto val="1"/>
        <c:lblAlgn val="ctr"/>
        <c:lblOffset val="100"/>
        <c:noMultiLvlLbl val="0"/>
      </c:catAx>
      <c:valAx>
        <c:axId val="953150479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53149647"/>
        <c:crosses val="autoZero"/>
        <c:crossBetween val="between"/>
        <c:majorUnit val="0.25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7275797778918642"/>
          <c:y val="7.0001664997418708E-2"/>
          <c:w val="0.20496904500264984"/>
          <c:h val="0.22630521042179083"/>
        </c:manualLayout>
      </c:layout>
      <c:overlay val="0"/>
      <c:spPr>
        <a:solidFill>
          <a:sysClr val="window" lastClr="FFFFFF"/>
        </a:solidFill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86052555281281"/>
          <c:y val="5.0925925925925923E-2"/>
          <c:w val="0.86004763888472158"/>
          <c:h val="0.562100942563418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Sheet2!$C$2</c:f>
              <c:strCache>
                <c:ptCount val="1"/>
                <c:pt idx="0">
                  <c:v>Per-marker + PCA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Sheet2!$A$3:$B$14</c:f>
              <c:multiLvlStrCache>
                <c:ptCount val="12"/>
                <c:lvl>
                  <c:pt idx="0">
                    <c:v>ERa</c:v>
                  </c:pt>
                  <c:pt idx="1">
                    <c:v>HER2</c:v>
                  </c:pt>
                  <c:pt idx="2">
                    <c:v>ki_67</c:v>
                  </c:pt>
                  <c:pt idx="3">
                    <c:v>Pan-KRT</c:v>
                  </c:pt>
                  <c:pt idx="4">
                    <c:v>KRT5</c:v>
                  </c:pt>
                  <c:pt idx="5">
                    <c:v>KRT8-18</c:v>
                  </c:pt>
                  <c:pt idx="6">
                    <c:v>sma</c:v>
                  </c:pt>
                  <c:pt idx="7">
                    <c:v>cd45</c:v>
                  </c:pt>
                  <c:pt idx="8">
                    <c:v>cd20</c:v>
                  </c:pt>
                  <c:pt idx="9">
                    <c:v>cd3</c:v>
                  </c:pt>
                  <c:pt idx="10">
                    <c:v>cd68</c:v>
                  </c:pt>
                  <c:pt idx="11">
                    <c:v>Markers</c:v>
                  </c:pt>
                </c:lvl>
                <c:lvl>
                  <c:pt idx="0">
                    <c:v>Clinical</c:v>
                  </c:pt>
                  <c:pt idx="3">
                    <c:v>KRTs</c:v>
                  </c:pt>
                  <c:pt idx="6">
                    <c:v>Str.</c:v>
                  </c:pt>
                  <c:pt idx="7">
                    <c:v>Immune</c:v>
                  </c:pt>
                  <c:pt idx="11">
                    <c:v>Mean</c:v>
                  </c:pt>
                </c:lvl>
              </c:multiLvlStrCache>
            </c:multiLvlStrRef>
          </c:cat>
          <c:val>
            <c:numRef>
              <c:f>Sheet2!$C$3:$C$14</c:f>
              <c:numCache>
                <c:formatCode>General</c:formatCode>
                <c:ptCount val="12"/>
                <c:pt idx="0">
                  <c:v>166.5</c:v>
                </c:pt>
                <c:pt idx="1">
                  <c:v>161.5</c:v>
                </c:pt>
                <c:pt idx="2">
                  <c:v>263.2</c:v>
                </c:pt>
                <c:pt idx="3">
                  <c:v>198.5</c:v>
                </c:pt>
                <c:pt idx="4">
                  <c:v>337.9</c:v>
                </c:pt>
                <c:pt idx="5">
                  <c:v>189.6</c:v>
                </c:pt>
                <c:pt idx="6">
                  <c:v>186.9</c:v>
                </c:pt>
                <c:pt idx="7">
                  <c:v>206.2</c:v>
                </c:pt>
                <c:pt idx="8">
                  <c:v>351.2</c:v>
                </c:pt>
                <c:pt idx="9">
                  <c:v>346.3</c:v>
                </c:pt>
                <c:pt idx="10">
                  <c:v>361.3</c:v>
                </c:pt>
                <c:pt idx="11" formatCode="0.0">
                  <c:v>251.73636363636368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36-4067-859E-5C71F059A01F}"/>
            </c:ext>
          </c:extLst>
        </c:ser>
        <c:ser>
          <c:idx val="1"/>
          <c:order val="1"/>
          <c:tx>
            <c:strRef>
              <c:f>Sheet2!$D$2</c:f>
              <c:strCache>
                <c:ptCount val="1"/>
                <c:pt idx="0">
                  <c:v>Joint 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Sheet2!$A$3:$B$14</c:f>
              <c:multiLvlStrCache>
                <c:ptCount val="12"/>
                <c:lvl>
                  <c:pt idx="0">
                    <c:v>ERa</c:v>
                  </c:pt>
                  <c:pt idx="1">
                    <c:v>HER2</c:v>
                  </c:pt>
                  <c:pt idx="2">
                    <c:v>ki_67</c:v>
                  </c:pt>
                  <c:pt idx="3">
                    <c:v>Pan-KRT</c:v>
                  </c:pt>
                  <c:pt idx="4">
                    <c:v>KRT5</c:v>
                  </c:pt>
                  <c:pt idx="5">
                    <c:v>KRT8-18</c:v>
                  </c:pt>
                  <c:pt idx="6">
                    <c:v>sma</c:v>
                  </c:pt>
                  <c:pt idx="7">
                    <c:v>cd45</c:v>
                  </c:pt>
                  <c:pt idx="8">
                    <c:v>cd20</c:v>
                  </c:pt>
                  <c:pt idx="9">
                    <c:v>cd3</c:v>
                  </c:pt>
                  <c:pt idx="10">
                    <c:v>cd68</c:v>
                  </c:pt>
                  <c:pt idx="11">
                    <c:v>Markers</c:v>
                  </c:pt>
                </c:lvl>
                <c:lvl>
                  <c:pt idx="0">
                    <c:v>Clinical</c:v>
                  </c:pt>
                  <c:pt idx="3">
                    <c:v>KRTs</c:v>
                  </c:pt>
                  <c:pt idx="6">
                    <c:v>Str.</c:v>
                  </c:pt>
                  <c:pt idx="7">
                    <c:v>Immune</c:v>
                  </c:pt>
                  <c:pt idx="11">
                    <c:v>Mean</c:v>
                  </c:pt>
                </c:lvl>
              </c:multiLvlStrCache>
            </c:multiLvlStrRef>
          </c:cat>
          <c:val>
            <c:numRef>
              <c:f>Sheet2!$D$3:$D$14</c:f>
              <c:numCache>
                <c:formatCode>General</c:formatCode>
                <c:ptCount val="12"/>
                <c:pt idx="0">
                  <c:v>209.2</c:v>
                </c:pt>
                <c:pt idx="1">
                  <c:v>205.7</c:v>
                </c:pt>
                <c:pt idx="2">
                  <c:v>261.5</c:v>
                </c:pt>
                <c:pt idx="3">
                  <c:v>263.8</c:v>
                </c:pt>
                <c:pt idx="4">
                  <c:v>378.3</c:v>
                </c:pt>
                <c:pt idx="5">
                  <c:v>227</c:v>
                </c:pt>
                <c:pt idx="6">
                  <c:v>195.1</c:v>
                </c:pt>
                <c:pt idx="7">
                  <c:v>167.4</c:v>
                </c:pt>
                <c:pt idx="8">
                  <c:v>270.89999999999998</c:v>
                </c:pt>
                <c:pt idx="9">
                  <c:v>320.5</c:v>
                </c:pt>
                <c:pt idx="10">
                  <c:v>282.89999999999998</c:v>
                </c:pt>
                <c:pt idx="11" formatCode="0.0">
                  <c:v>252.93636363636367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36-4067-859E-5C71F059A01F}"/>
            </c:ext>
          </c:extLst>
        </c:ser>
        <c:ser>
          <c:idx val="2"/>
          <c:order val="2"/>
          <c:tx>
            <c:strRef>
              <c:f>Sheet2!$E$2</c:f>
              <c:strCache>
                <c:ptCount val="1"/>
                <c:pt idx="0">
                  <c:v>Joint + HyperConv.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Sheet2!$A$3:$B$14</c:f>
              <c:multiLvlStrCache>
                <c:ptCount val="12"/>
                <c:lvl>
                  <c:pt idx="0">
                    <c:v>ERa</c:v>
                  </c:pt>
                  <c:pt idx="1">
                    <c:v>HER2</c:v>
                  </c:pt>
                  <c:pt idx="2">
                    <c:v>ki_67</c:v>
                  </c:pt>
                  <c:pt idx="3">
                    <c:v>Pan-KRT</c:v>
                  </c:pt>
                  <c:pt idx="4">
                    <c:v>KRT5</c:v>
                  </c:pt>
                  <c:pt idx="5">
                    <c:v>KRT8-18</c:v>
                  </c:pt>
                  <c:pt idx="6">
                    <c:v>sma</c:v>
                  </c:pt>
                  <c:pt idx="7">
                    <c:v>cd45</c:v>
                  </c:pt>
                  <c:pt idx="8">
                    <c:v>cd20</c:v>
                  </c:pt>
                  <c:pt idx="9">
                    <c:v>cd3</c:v>
                  </c:pt>
                  <c:pt idx="10">
                    <c:v>cd68</c:v>
                  </c:pt>
                  <c:pt idx="11">
                    <c:v>Markers</c:v>
                  </c:pt>
                </c:lvl>
                <c:lvl>
                  <c:pt idx="0">
                    <c:v>Clinical</c:v>
                  </c:pt>
                  <c:pt idx="3">
                    <c:v>KRTs</c:v>
                  </c:pt>
                  <c:pt idx="6">
                    <c:v>Str.</c:v>
                  </c:pt>
                  <c:pt idx="7">
                    <c:v>Immune</c:v>
                  </c:pt>
                  <c:pt idx="11">
                    <c:v>Mean</c:v>
                  </c:pt>
                </c:lvl>
              </c:multiLvlStrCache>
            </c:multiLvlStrRef>
          </c:cat>
          <c:val>
            <c:numRef>
              <c:f>Sheet2!$E$3:$E$14</c:f>
              <c:numCache>
                <c:formatCode>General</c:formatCode>
                <c:ptCount val="12"/>
                <c:pt idx="0">
                  <c:v>324.5</c:v>
                </c:pt>
                <c:pt idx="1">
                  <c:v>225.7</c:v>
                </c:pt>
                <c:pt idx="2">
                  <c:v>177.4</c:v>
                </c:pt>
                <c:pt idx="3">
                  <c:v>287.89999999999998</c:v>
                </c:pt>
                <c:pt idx="4">
                  <c:v>240.9</c:v>
                </c:pt>
                <c:pt idx="5">
                  <c:v>201</c:v>
                </c:pt>
                <c:pt idx="6">
                  <c:v>234.8</c:v>
                </c:pt>
                <c:pt idx="7">
                  <c:v>248.8</c:v>
                </c:pt>
                <c:pt idx="8">
                  <c:v>204.3</c:v>
                </c:pt>
                <c:pt idx="9">
                  <c:v>203.7</c:v>
                </c:pt>
                <c:pt idx="10">
                  <c:v>225.7</c:v>
                </c:pt>
                <c:pt idx="11" formatCode="0.0">
                  <c:v>234.06363636363633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36-4067-859E-5C71F059A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3149647"/>
        <c:axId val="953150479"/>
      </c:barChart>
      <c:catAx>
        <c:axId val="953149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53150479"/>
        <c:crosses val="autoZero"/>
        <c:auto val="1"/>
        <c:lblAlgn val="ctr"/>
        <c:lblOffset val="100"/>
        <c:noMultiLvlLbl val="0"/>
      </c:catAx>
      <c:valAx>
        <c:axId val="953150479"/>
        <c:scaling>
          <c:orientation val="minMax"/>
          <c:max val="5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53149647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2"/>
          <c:order val="0"/>
          <c:tx>
            <c:strRef>
              <c:f>Sheet1!$E$1</c:f>
              <c:strCache>
                <c:ptCount val="1"/>
                <c:pt idx="0">
                  <c:v>FID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Sheet1!$A$2:$B$7</c:f>
              <c:multiLvlStrCache>
                <c:ptCount val="6"/>
                <c:lvl>
                  <c:pt idx="0">
                    <c:v>Ki67</c:v>
                  </c:pt>
                  <c:pt idx="1">
                    <c:v>HER2</c:v>
                  </c:pt>
                  <c:pt idx="2">
                    <c:v>CK8-18</c:v>
                  </c:pt>
                  <c:pt idx="3">
                    <c:v>CK5</c:v>
                  </c:pt>
                  <c:pt idx="4">
                    <c:v>Pan-CK</c:v>
                  </c:pt>
                  <c:pt idx="5">
                    <c:v>ERa</c:v>
                  </c:pt>
                </c:lvl>
                <c:lvl>
                  <c:pt idx="0">
                    <c:v>Danenberg</c:v>
                  </c:pt>
                </c:lvl>
              </c:multiLvlStrCache>
            </c:multiLvlStrRef>
          </c:cat>
          <c:val>
            <c:numRef>
              <c:f>Sheet1!$E$2:$E$7</c:f>
              <c:numCache>
                <c:formatCode>General</c:formatCode>
                <c:ptCount val="6"/>
                <c:pt idx="0">
                  <c:v>340.8</c:v>
                </c:pt>
                <c:pt idx="1">
                  <c:v>292.7</c:v>
                </c:pt>
                <c:pt idx="2">
                  <c:v>314</c:v>
                </c:pt>
                <c:pt idx="3">
                  <c:v>371.6</c:v>
                </c:pt>
                <c:pt idx="4">
                  <c:v>346.6</c:v>
                </c:pt>
                <c:pt idx="5">
                  <c:v>257.7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B62-49EF-994B-DCDC43AD39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7638511"/>
        <c:axId val="457638927"/>
      </c:barChart>
      <c:catAx>
        <c:axId val="4576385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57638927"/>
        <c:crosses val="autoZero"/>
        <c:auto val="1"/>
        <c:lblAlgn val="ctr"/>
        <c:lblOffset val="100"/>
        <c:noMultiLvlLbl val="0"/>
      </c:catAx>
      <c:valAx>
        <c:axId val="45763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7638511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47286784294566"/>
          <c:y val="4.8198723648115505E-2"/>
          <c:w val="0.83207577146879064"/>
          <c:h val="0.811179828147326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Sheet1!$D$18</c:f>
              <c:strCache>
                <c:ptCount val="1"/>
                <c:pt idx="0">
                  <c:v>Danenberg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Sheet1!$B$19:$B$23</c:f>
              <c:strCache>
                <c:ptCount val="5"/>
                <c:pt idx="0">
                  <c:v>Pan-CK</c:v>
                </c:pt>
                <c:pt idx="1">
                  <c:v>CK5</c:v>
                </c:pt>
                <c:pt idx="2">
                  <c:v>CK8-18</c:v>
                </c:pt>
                <c:pt idx="3">
                  <c:v>Ki67</c:v>
                </c:pt>
                <c:pt idx="4">
                  <c:v>HER2</c:v>
                </c:pt>
              </c:strCache>
            </c:strRef>
          </c:cat>
          <c:val>
            <c:numRef>
              <c:f>Sheet1!$D$19:$D$23</c:f>
              <c:numCache>
                <c:formatCode>General</c:formatCode>
                <c:ptCount val="5"/>
                <c:pt idx="0">
                  <c:v>0.374</c:v>
                </c:pt>
                <c:pt idx="1">
                  <c:v>0.40799999999999997</c:v>
                </c:pt>
                <c:pt idx="2">
                  <c:v>0.442</c:v>
                </c:pt>
                <c:pt idx="3">
                  <c:v>0.46700000000000003</c:v>
                </c:pt>
                <c:pt idx="4">
                  <c:v>0.46300000000000002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9A-4D71-BFFC-B028976BA26F}"/>
            </c:ext>
          </c:extLst>
        </c:ser>
        <c:ser>
          <c:idx val="1"/>
          <c:order val="1"/>
          <c:tx>
            <c:strRef>
              <c:f>Sheet1!$E$18</c:f>
              <c:strCache>
                <c:ptCount val="1"/>
                <c:pt idx="0">
                  <c:v>Jackson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Sheet1!$B$19:$B$23</c:f>
              <c:strCache>
                <c:ptCount val="5"/>
                <c:pt idx="0">
                  <c:v>Pan-CK</c:v>
                </c:pt>
                <c:pt idx="1">
                  <c:v>CK5</c:v>
                </c:pt>
                <c:pt idx="2">
                  <c:v>CK8-18</c:v>
                </c:pt>
                <c:pt idx="3">
                  <c:v>Ki67</c:v>
                </c:pt>
                <c:pt idx="4">
                  <c:v>HER2</c:v>
                </c:pt>
              </c:strCache>
            </c:strRef>
          </c:cat>
          <c:val>
            <c:numRef>
              <c:f>Sheet1!$E$19:$E$23</c:f>
              <c:numCache>
                <c:formatCode>General</c:formatCode>
                <c:ptCount val="5"/>
                <c:pt idx="0">
                  <c:v>0.318</c:v>
                </c:pt>
                <c:pt idx="1">
                  <c:v>0.379</c:v>
                </c:pt>
                <c:pt idx="2">
                  <c:v>0.40100000000000002</c:v>
                </c:pt>
                <c:pt idx="3">
                  <c:v>0.39100000000000001</c:v>
                </c:pt>
                <c:pt idx="4">
                  <c:v>0.35099999999999998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9A-4D71-BFFC-B028976BA2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0038527"/>
        <c:axId val="450038943"/>
      </c:barChart>
      <c:catAx>
        <c:axId val="450038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0038943"/>
        <c:crosses val="autoZero"/>
        <c:auto val="1"/>
        <c:lblAlgn val="ctr"/>
        <c:lblOffset val="100"/>
        <c:noMultiLvlLbl val="0"/>
      </c:catAx>
      <c:valAx>
        <c:axId val="450038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RMSE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0038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0612368205589735"/>
          <c:y val="0.64367899105800785"/>
          <c:w val="0.19387625944126491"/>
          <c:h val="7.56250586294234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42054217232659"/>
          <c:y val="4.6635671915878196E-2"/>
          <c:w val="0.80561094343760875"/>
          <c:h val="0.774021305287582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Sheet1!$C$18</c:f>
              <c:strCache>
                <c:ptCount val="1"/>
                <c:pt idx="0">
                  <c:v>D - % area</c:v>
                </c:pt>
              </c:strCache>
            </c:strRef>
          </c:tx>
          <c:spPr>
            <a:noFill/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Sheet1!$B$26:$B$30</c15:sqref>
                  </c15:fullRef>
                </c:ext>
              </c:extLst>
              <c:f>Sheet1!$B$26:$B$29</c:f>
              <c:strCache>
                <c:ptCount val="4"/>
                <c:pt idx="0">
                  <c:v>Pan-CK</c:v>
                </c:pt>
                <c:pt idx="1">
                  <c:v>CK5</c:v>
                </c:pt>
                <c:pt idx="2">
                  <c:v>CK8-18</c:v>
                </c:pt>
                <c:pt idx="3">
                  <c:v>Ki67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Sheet1!$C$26:$C$30</c15:sqref>
                  </c15:fullRef>
                </c:ext>
              </c:extLst>
              <c:f>Sheet1!$C$26:$C$29</c:f>
              <c:numCache>
                <c:formatCode>0.0</c:formatCode>
                <c:ptCount val="4"/>
                <c:pt idx="0">
                  <c:v>13.48655727</c:v>
                </c:pt>
                <c:pt idx="1">
                  <c:v>14.58223203</c:v>
                </c:pt>
                <c:pt idx="2">
                  <c:v>61.985700940000001</c:v>
                </c:pt>
                <c:pt idx="3">
                  <c:v>38.822217160000001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EB-4E06-A029-48B27FF534D5}"/>
            </c:ext>
          </c:extLst>
        </c:ser>
        <c:ser>
          <c:idx val="3"/>
          <c:order val="1"/>
          <c:tx>
            <c:strRef>
              <c:f>Sheet1!$F$18</c:f>
              <c:strCache>
                <c:ptCount val="1"/>
                <c:pt idx="0">
                  <c:v>J - % area</c:v>
                </c:pt>
              </c:strCache>
            </c:strRef>
          </c:tx>
          <c:spPr>
            <a:noFill/>
            <a:ln>
              <a:solidFill>
                <a:schemeClr val="accent2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Sheet1!$B$26:$B$30</c15:sqref>
                  </c15:fullRef>
                </c:ext>
              </c:extLst>
              <c:f>Sheet1!$B$26:$B$29</c:f>
              <c:strCache>
                <c:ptCount val="4"/>
                <c:pt idx="0">
                  <c:v>Pan-CK</c:v>
                </c:pt>
                <c:pt idx="1">
                  <c:v>CK5</c:v>
                </c:pt>
                <c:pt idx="2">
                  <c:v>CK8-18</c:v>
                </c:pt>
                <c:pt idx="3">
                  <c:v>Ki67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Sheet1!$F$26:$F$30</c15:sqref>
                  </c15:fullRef>
                </c:ext>
              </c:extLst>
              <c:f>Sheet1!$F$26:$F$29</c:f>
              <c:numCache>
                <c:formatCode>0</c:formatCode>
                <c:ptCount val="4"/>
                <c:pt idx="0">
                  <c:v>0.20128612370691801</c:v>
                </c:pt>
                <c:pt idx="1">
                  <c:v>0.31836085952235299</c:v>
                </c:pt>
                <c:pt idx="2">
                  <c:v>0.27749155771600498</c:v>
                </c:pt>
                <c:pt idx="3">
                  <c:v>0.25666775391575802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08-4C87-B664-092054E4EDFD}"/>
            </c:ext>
          </c:extLst>
        </c:ser>
        <c:ser>
          <c:idx val="1"/>
          <c:order val="2"/>
          <c:tx>
            <c:strRef>
              <c:f>Sheet1!$D$18</c:f>
              <c:strCache>
                <c:ptCount val="1"/>
                <c:pt idx="0">
                  <c:v>Danenberg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Sheet1!$B$26:$B$30</c15:sqref>
                  </c15:fullRef>
                </c:ext>
              </c:extLst>
              <c:f>Sheet1!$B$26:$B$29</c:f>
              <c:strCache>
                <c:ptCount val="4"/>
                <c:pt idx="0">
                  <c:v>Pan-CK</c:v>
                </c:pt>
                <c:pt idx="1">
                  <c:v>CK5</c:v>
                </c:pt>
                <c:pt idx="2">
                  <c:v>CK8-18</c:v>
                </c:pt>
                <c:pt idx="3">
                  <c:v>Ki67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Sheet1!$D$26:$D$30</c15:sqref>
                  </c15:fullRef>
                </c:ext>
              </c:extLst>
              <c:f>Sheet1!$D$26:$D$29</c:f>
              <c:numCache>
                <c:formatCode>General</c:formatCode>
                <c:ptCount val="4"/>
                <c:pt idx="0">
                  <c:v>346.6</c:v>
                </c:pt>
                <c:pt idx="1">
                  <c:v>371.6</c:v>
                </c:pt>
                <c:pt idx="2">
                  <c:v>314</c:v>
                </c:pt>
                <c:pt idx="3">
                  <c:v>340.8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EB-4E06-A029-48B27FF534D5}"/>
            </c:ext>
          </c:extLst>
        </c:ser>
        <c:ser>
          <c:idx val="2"/>
          <c:order val="3"/>
          <c:tx>
            <c:strRef>
              <c:f>Sheet1!$E$18</c:f>
              <c:strCache>
                <c:ptCount val="1"/>
                <c:pt idx="0">
                  <c:v>Jackson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Sheet1!$B$26:$B$30</c15:sqref>
                  </c15:fullRef>
                </c:ext>
              </c:extLst>
              <c:f>Sheet1!$B$26:$B$29</c:f>
              <c:strCache>
                <c:ptCount val="4"/>
                <c:pt idx="0">
                  <c:v>Pan-CK</c:v>
                </c:pt>
                <c:pt idx="1">
                  <c:v>CK5</c:v>
                </c:pt>
                <c:pt idx="2">
                  <c:v>CK8-18</c:v>
                </c:pt>
                <c:pt idx="3">
                  <c:v>Ki67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Sheet1!$E$26:$E$30</c15:sqref>
                  </c15:fullRef>
                </c:ext>
              </c:extLst>
              <c:f>Sheet1!$E$26:$E$29</c:f>
              <c:numCache>
                <c:formatCode>General</c:formatCode>
                <c:ptCount val="4"/>
                <c:pt idx="0">
                  <c:v>298.39999999999998</c:v>
                </c:pt>
                <c:pt idx="1">
                  <c:v>270.7</c:v>
                </c:pt>
                <c:pt idx="2">
                  <c:v>257.05</c:v>
                </c:pt>
                <c:pt idx="3">
                  <c:v>295.01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08-4C87-B664-092054E4E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0038527"/>
        <c:axId val="450038943"/>
      </c:barChart>
      <c:catAx>
        <c:axId val="450038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0038943"/>
        <c:crosses val="autoZero"/>
        <c:auto val="1"/>
        <c:lblAlgn val="ctr"/>
        <c:lblOffset val="100"/>
        <c:noMultiLvlLbl val="0"/>
      </c:catAx>
      <c:valAx>
        <c:axId val="450038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0038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270165264543826"/>
          <c:y val="8.1665296475030291E-2"/>
          <c:w val="0.16493337447407622"/>
          <c:h val="0.38100899589771431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86383175358807"/>
          <c:y val="4.8198723648115505E-2"/>
          <c:w val="0.82068487737219653"/>
          <c:h val="0.78251656593195784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Sheet1!$C$32</c:f>
              <c:strCache>
                <c:ptCount val="1"/>
                <c:pt idx="0">
                  <c:v>D - % area</c:v>
                </c:pt>
              </c:strCache>
            </c:strRef>
          </c:tx>
          <c:spPr>
            <a:noFill/>
            <a:ln>
              <a:solidFill>
                <a:schemeClr val="accent1"/>
              </a:solidFill>
            </a:ln>
            <a:effectLst/>
          </c:spPr>
          <c:invertIfNegative val="0"/>
          <c:cat>
            <c:strRef>
              <c:f>Sheet1!$B$58:$B$68</c:f>
              <c:strCache>
                <c:ptCount val="11"/>
                <c:pt idx="0">
                  <c:v>CK5</c:v>
                </c:pt>
                <c:pt idx="1">
                  <c:v>CD68</c:v>
                </c:pt>
                <c:pt idx="2">
                  <c:v>sma</c:v>
                </c:pt>
                <c:pt idx="3">
                  <c:v>CD3</c:v>
                </c:pt>
                <c:pt idx="4">
                  <c:v>Ki67</c:v>
                </c:pt>
                <c:pt idx="5">
                  <c:v>CD20</c:v>
                </c:pt>
                <c:pt idx="6">
                  <c:v>CK8-18</c:v>
                </c:pt>
                <c:pt idx="7">
                  <c:v>CD45</c:v>
                </c:pt>
                <c:pt idx="8">
                  <c:v>HER2</c:v>
                </c:pt>
                <c:pt idx="9">
                  <c:v>Pan-CK</c:v>
                </c:pt>
                <c:pt idx="10">
                  <c:v>ERa</c:v>
                </c:pt>
              </c:strCache>
            </c:strRef>
          </c:cat>
          <c:val>
            <c:numRef>
              <c:f>Sheet1!$C$58:$C$68</c:f>
              <c:numCache>
                <c:formatCode>0.0</c:formatCode>
                <c:ptCount val="11"/>
                <c:pt idx="0">
                  <c:v>14.58223203</c:v>
                </c:pt>
                <c:pt idx="1">
                  <c:v>34.598979030000002</c:v>
                </c:pt>
                <c:pt idx="2">
                  <c:v>66.19802722</c:v>
                </c:pt>
                <c:pt idx="3">
                  <c:v>9.5516059779999996</c:v>
                </c:pt>
                <c:pt idx="4">
                  <c:v>38.822217160000001</c:v>
                </c:pt>
                <c:pt idx="5">
                  <c:v>3.2566599309999997</c:v>
                </c:pt>
                <c:pt idx="6">
                  <c:v>61.985700940000001</c:v>
                </c:pt>
                <c:pt idx="7">
                  <c:v>7.76826843</c:v>
                </c:pt>
                <c:pt idx="8">
                  <c:v>40.82876701</c:v>
                </c:pt>
                <c:pt idx="9">
                  <c:v>13.486557269999999</c:v>
                </c:pt>
                <c:pt idx="10">
                  <c:v>7.1747951170000004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F3-4D27-8E76-E7297C68D7B9}"/>
            </c:ext>
          </c:extLst>
        </c:ser>
        <c:ser>
          <c:idx val="2"/>
          <c:order val="1"/>
          <c:tx>
            <c:strRef>
              <c:f>Sheet1!$D$32</c:f>
              <c:strCache>
                <c:ptCount val="1"/>
                <c:pt idx="0">
                  <c:v>J2D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Sheet1!$B$58:$B$68</c:f>
              <c:strCache>
                <c:ptCount val="11"/>
                <c:pt idx="0">
                  <c:v>CK5</c:v>
                </c:pt>
                <c:pt idx="1">
                  <c:v>CD68</c:v>
                </c:pt>
                <c:pt idx="2">
                  <c:v>sma</c:v>
                </c:pt>
                <c:pt idx="3">
                  <c:v>CD3</c:v>
                </c:pt>
                <c:pt idx="4">
                  <c:v>Ki67</c:v>
                </c:pt>
                <c:pt idx="5">
                  <c:v>CD20</c:v>
                </c:pt>
                <c:pt idx="6">
                  <c:v>CK8-18</c:v>
                </c:pt>
                <c:pt idx="7">
                  <c:v>CD45</c:v>
                </c:pt>
                <c:pt idx="8">
                  <c:v>HER2</c:v>
                </c:pt>
                <c:pt idx="9">
                  <c:v>Pan-CK</c:v>
                </c:pt>
                <c:pt idx="10">
                  <c:v>ERa</c:v>
                </c:pt>
              </c:strCache>
            </c:strRef>
          </c:cat>
          <c:val>
            <c:numRef>
              <c:f>Sheet1!$D$58:$D$68</c:f>
              <c:numCache>
                <c:formatCode>General</c:formatCode>
                <c:ptCount val="11"/>
                <c:pt idx="0">
                  <c:v>337</c:v>
                </c:pt>
                <c:pt idx="1">
                  <c:v>361</c:v>
                </c:pt>
                <c:pt idx="2">
                  <c:v>186.9</c:v>
                </c:pt>
                <c:pt idx="3">
                  <c:v>346</c:v>
                </c:pt>
                <c:pt idx="4">
                  <c:v>263</c:v>
                </c:pt>
                <c:pt idx="5">
                  <c:v>351</c:v>
                </c:pt>
                <c:pt idx="6">
                  <c:v>189.6</c:v>
                </c:pt>
                <c:pt idx="7">
                  <c:v>206</c:v>
                </c:pt>
                <c:pt idx="8">
                  <c:v>161.5</c:v>
                </c:pt>
                <c:pt idx="9">
                  <c:v>198</c:v>
                </c:pt>
                <c:pt idx="10">
                  <c:v>166.5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2B-4B19-84B2-934E773BFC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0038527"/>
        <c:axId val="450038943"/>
      </c:barChart>
      <c:catAx>
        <c:axId val="450038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0038943"/>
        <c:crosses val="autoZero"/>
        <c:auto val="1"/>
        <c:lblAlgn val="ctr"/>
        <c:lblOffset val="100"/>
        <c:noMultiLvlLbl val="0"/>
      </c:catAx>
      <c:valAx>
        <c:axId val="450038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0038527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5347417489187185"/>
          <c:y val="5.8744298003841011E-2"/>
          <c:w val="0.1850150494211906"/>
          <c:h val="0.19703657135864602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707691114545221E-2"/>
          <c:y val="4.8198723648115505E-2"/>
          <c:w val="0.91184092985046328"/>
          <c:h val="0.78251656593195784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Sheet1!$D$32</c:f>
              <c:strCache>
                <c:ptCount val="1"/>
                <c:pt idx="0">
                  <c:v>J2D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Sheet1!$B$46:$B$56</c:f>
              <c:strCache>
                <c:ptCount val="11"/>
                <c:pt idx="0">
                  <c:v>CK5</c:v>
                </c:pt>
                <c:pt idx="1">
                  <c:v>CD68</c:v>
                </c:pt>
                <c:pt idx="2">
                  <c:v>sma</c:v>
                </c:pt>
                <c:pt idx="3">
                  <c:v>CD3</c:v>
                </c:pt>
                <c:pt idx="4">
                  <c:v>Ki67</c:v>
                </c:pt>
                <c:pt idx="5">
                  <c:v>CD20</c:v>
                </c:pt>
                <c:pt idx="6">
                  <c:v>CK8-18</c:v>
                </c:pt>
                <c:pt idx="7">
                  <c:v>CD45</c:v>
                </c:pt>
                <c:pt idx="8">
                  <c:v>HER2</c:v>
                </c:pt>
                <c:pt idx="9">
                  <c:v>Pan-CK</c:v>
                </c:pt>
                <c:pt idx="10">
                  <c:v>ERa</c:v>
                </c:pt>
              </c:strCache>
            </c:strRef>
          </c:cat>
          <c:val>
            <c:numRef>
              <c:f>Sheet1!$D$46:$D$56</c:f>
              <c:numCache>
                <c:formatCode>0.00</c:formatCode>
                <c:ptCount val="11"/>
                <c:pt idx="0">
                  <c:v>8.0799999999999997E-2</c:v>
                </c:pt>
                <c:pt idx="1">
                  <c:v>9.6000000000000002E-2</c:v>
                </c:pt>
                <c:pt idx="2">
                  <c:v>0.13</c:v>
                </c:pt>
                <c:pt idx="3">
                  <c:v>0.14710000000000001</c:v>
                </c:pt>
                <c:pt idx="4">
                  <c:v>0.17499999999999999</c:v>
                </c:pt>
                <c:pt idx="5">
                  <c:v>0.21759999999999999</c:v>
                </c:pt>
                <c:pt idx="6">
                  <c:v>0.36820000000000003</c:v>
                </c:pt>
                <c:pt idx="7">
                  <c:v>0.37040000000000001</c:v>
                </c:pt>
                <c:pt idx="8">
                  <c:v>0.45</c:v>
                </c:pt>
                <c:pt idx="9">
                  <c:v>0.57399999999999995</c:v>
                </c:pt>
                <c:pt idx="10">
                  <c:v>0.57750000000000001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B39-42DA-BD89-D38B9EF2A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0038527"/>
        <c:axId val="450038943"/>
      </c:barChart>
      <c:catAx>
        <c:axId val="4500385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50038943"/>
        <c:crosses val="autoZero"/>
        <c:auto val="1"/>
        <c:lblAlgn val="ctr"/>
        <c:lblOffset val="100"/>
        <c:noMultiLvlLbl val="0"/>
      </c:catAx>
      <c:valAx>
        <c:axId val="45003894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Corr.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0038527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763668343322367"/>
          <c:y val="3.3555499402870642E-2"/>
          <c:w val="0.79639175377689697"/>
          <c:h val="0.8196592471462212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% area</c:v>
                </c:pt>
              </c:strCache>
            </c:strRef>
          </c:tx>
          <c:spPr>
            <a:noFill/>
            <a:ln>
              <a:solidFill>
                <a:schemeClr val="tx2"/>
              </a:solidFill>
            </a:ln>
            <a:effectLst/>
          </c:spPr>
          <c:invertIfNegative val="0"/>
          <c:cat>
            <c:multiLvlStrRef>
              <c:f>Sheet1!$A$2:$B$7</c:f>
              <c:multiLvlStrCache>
                <c:ptCount val="6"/>
                <c:lvl>
                  <c:pt idx="0">
                    <c:v>Ki67</c:v>
                  </c:pt>
                  <c:pt idx="1">
                    <c:v>HER2</c:v>
                  </c:pt>
                  <c:pt idx="2">
                    <c:v>CK8-18</c:v>
                  </c:pt>
                  <c:pt idx="3">
                    <c:v>CK5</c:v>
                  </c:pt>
                  <c:pt idx="4">
                    <c:v>Pan-CK</c:v>
                  </c:pt>
                  <c:pt idx="5">
                    <c:v>ERa</c:v>
                  </c:pt>
                </c:lvl>
                <c:lvl>
                  <c:pt idx="0">
                    <c:v>Danenberg</c:v>
                  </c:pt>
                </c:lvl>
              </c:multiLvlStrCache>
            </c:multiLvl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0.3882221716</c:v>
                </c:pt>
                <c:pt idx="1">
                  <c:v>0.4082876701</c:v>
                </c:pt>
                <c:pt idx="2">
                  <c:v>0.61985700939999999</c:v>
                </c:pt>
                <c:pt idx="3">
                  <c:v>0.1458223203</c:v>
                </c:pt>
                <c:pt idx="4">
                  <c:v>0.13486557269999999</c:v>
                </c:pt>
                <c:pt idx="5">
                  <c:v>7.1747951170000004E-2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6-4B96-A981-838BF0B11FBB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RMSE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Sheet1!$A$2:$B$7</c:f>
              <c:multiLvlStrCache>
                <c:ptCount val="6"/>
                <c:lvl>
                  <c:pt idx="0">
                    <c:v>Ki67</c:v>
                  </c:pt>
                  <c:pt idx="1">
                    <c:v>HER2</c:v>
                  </c:pt>
                  <c:pt idx="2">
                    <c:v>CK8-18</c:v>
                  </c:pt>
                  <c:pt idx="3">
                    <c:v>CK5</c:v>
                  </c:pt>
                  <c:pt idx="4">
                    <c:v>Pan-CK</c:v>
                  </c:pt>
                  <c:pt idx="5">
                    <c:v>ERa</c:v>
                  </c:pt>
                </c:lvl>
                <c:lvl>
                  <c:pt idx="0">
                    <c:v>Danenberg</c:v>
                  </c:pt>
                </c:lvl>
              </c:multiLvlStrCache>
            </c:multiLvlStrRef>
          </c:cat>
          <c:val>
            <c:numRef>
              <c:f>Sheet1!$D$2:$D$7</c:f>
              <c:numCache>
                <c:formatCode>General</c:formatCode>
                <c:ptCount val="6"/>
                <c:pt idx="0">
                  <c:v>0.46700000000000003</c:v>
                </c:pt>
                <c:pt idx="1">
                  <c:v>0.46300000000000002</c:v>
                </c:pt>
                <c:pt idx="2">
                  <c:v>0.442</c:v>
                </c:pt>
                <c:pt idx="3">
                  <c:v>0.40799999999999997</c:v>
                </c:pt>
                <c:pt idx="4">
                  <c:v>0.374</c:v>
                </c:pt>
                <c:pt idx="5">
                  <c:v>0.312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8E-409B-AB25-AF9720FD55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7638511"/>
        <c:axId val="457638927"/>
      </c:barChart>
      <c:catAx>
        <c:axId val="457638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7638927"/>
        <c:crosses val="autoZero"/>
        <c:auto val="1"/>
        <c:lblAlgn val="ctr"/>
        <c:lblOffset val="100"/>
        <c:noMultiLvlLbl val="0"/>
      </c:catAx>
      <c:valAx>
        <c:axId val="45763892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RMSE / %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7638511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24838272617981"/>
          <c:y val="8.5512959580635525E-2"/>
          <c:w val="0.10468976738807781"/>
          <c:h val="0.14388595543539973"/>
        </c:manualLayout>
      </c:layout>
      <c:overlay val="0"/>
      <c:spPr>
        <a:solidFill>
          <a:schemeClr val="bg1"/>
        </a:solidFill>
        <a:ln>
          <a:solidFill>
            <a:schemeClr val="tx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763668343322367"/>
          <c:y val="3.3555499402870642E-2"/>
          <c:w val="0.79639175377689697"/>
          <c:h val="0.8196592471462212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% area</c:v>
                </c:pt>
              </c:strCache>
            </c:strRef>
          </c:tx>
          <c:spPr>
            <a:noFill/>
            <a:ln>
              <a:solidFill>
                <a:schemeClr val="accent2"/>
              </a:solidFill>
            </a:ln>
            <a:effectLst/>
          </c:spPr>
          <c:invertIfNegative val="0"/>
          <c:cat>
            <c:multiLvlStrRef>
              <c:f>Sheet1!$A$9:$B$15</c:f>
              <c:multiLvlStrCache>
                <c:ptCount val="7"/>
                <c:lvl>
                  <c:pt idx="0">
                    <c:v>CK8-18</c:v>
                  </c:pt>
                  <c:pt idx="1">
                    <c:v>Ki67</c:v>
                  </c:pt>
                  <c:pt idx="2">
                    <c:v>CK5</c:v>
                  </c:pt>
                  <c:pt idx="3">
                    <c:v>pHH3</c:v>
                  </c:pt>
                  <c:pt idx="4">
                    <c:v>HER2</c:v>
                  </c:pt>
                  <c:pt idx="5">
                    <c:v>Pan-CK</c:v>
                  </c:pt>
                  <c:pt idx="6">
                    <c:v>H3K27me</c:v>
                  </c:pt>
                </c:lvl>
                <c:lvl>
                  <c:pt idx="0">
                    <c:v>Jackson</c:v>
                  </c:pt>
                </c:lvl>
              </c:multiLvlStrCache>
            </c:multiLvlStrRef>
          </c:cat>
          <c:val>
            <c:numRef>
              <c:f>Sheet1!$C$9:$C$15</c:f>
              <c:numCache>
                <c:formatCode>General</c:formatCode>
                <c:ptCount val="7"/>
                <c:pt idx="0">
                  <c:v>0.27749155771600498</c:v>
                </c:pt>
                <c:pt idx="1">
                  <c:v>0.25666775391575802</c:v>
                </c:pt>
                <c:pt idx="2">
                  <c:v>0.31836085952235299</c:v>
                </c:pt>
                <c:pt idx="3">
                  <c:v>0.115243205004764</c:v>
                </c:pt>
                <c:pt idx="4">
                  <c:v>0.43841542505719</c:v>
                </c:pt>
                <c:pt idx="5">
                  <c:v>0.20128612370691801</c:v>
                </c:pt>
                <c:pt idx="6">
                  <c:v>0.17482263239736898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34-4E12-914A-7B5A62EB9236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RMSE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Sheet1!$A$9:$B$15</c:f>
              <c:multiLvlStrCache>
                <c:ptCount val="7"/>
                <c:lvl>
                  <c:pt idx="0">
                    <c:v>CK8-18</c:v>
                  </c:pt>
                  <c:pt idx="1">
                    <c:v>Ki67</c:v>
                  </c:pt>
                  <c:pt idx="2">
                    <c:v>CK5</c:v>
                  </c:pt>
                  <c:pt idx="3">
                    <c:v>pHH3</c:v>
                  </c:pt>
                  <c:pt idx="4">
                    <c:v>HER2</c:v>
                  </c:pt>
                  <c:pt idx="5">
                    <c:v>Pan-CK</c:v>
                  </c:pt>
                  <c:pt idx="6">
                    <c:v>H3K27me</c:v>
                  </c:pt>
                </c:lvl>
                <c:lvl>
                  <c:pt idx="0">
                    <c:v>Jackson</c:v>
                  </c:pt>
                </c:lvl>
              </c:multiLvlStrCache>
            </c:multiLvlStrRef>
          </c:cat>
          <c:val>
            <c:numRef>
              <c:f>Sheet1!$D$9:$D$15</c:f>
              <c:numCache>
                <c:formatCode>General</c:formatCode>
                <c:ptCount val="7"/>
                <c:pt idx="0">
                  <c:v>0.40100000000000002</c:v>
                </c:pt>
                <c:pt idx="1">
                  <c:v>0.39100000000000001</c:v>
                </c:pt>
                <c:pt idx="2">
                  <c:v>0.379</c:v>
                </c:pt>
                <c:pt idx="3">
                  <c:v>0.35699999999999998</c:v>
                </c:pt>
                <c:pt idx="4">
                  <c:v>0.35099999999999998</c:v>
                </c:pt>
                <c:pt idx="5">
                  <c:v>0.318</c:v>
                </c:pt>
                <c:pt idx="6" formatCode="0.000">
                  <c:v>0.22009999999999999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334-4E12-914A-7B5A62EB92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7638511"/>
        <c:axId val="457638927"/>
      </c:barChart>
      <c:catAx>
        <c:axId val="457638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7638927"/>
        <c:crosses val="autoZero"/>
        <c:auto val="1"/>
        <c:lblAlgn val="ctr"/>
        <c:lblOffset val="100"/>
        <c:noMultiLvlLbl val="0"/>
      </c:catAx>
      <c:valAx>
        <c:axId val="45763892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RMSE / % area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7638511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24838272617981"/>
          <c:y val="8.5512959580635525E-2"/>
          <c:w val="0.10541463590643145"/>
          <c:h val="0.13712209935017153"/>
        </c:manualLayout>
      </c:layout>
      <c:overlay val="0"/>
      <c:spPr>
        <a:solidFill>
          <a:schemeClr val="bg1"/>
        </a:solidFill>
        <a:ln>
          <a:solidFill>
            <a:schemeClr val="tx2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2"/>
          <c:order val="0"/>
          <c:tx>
            <c:strRef>
              <c:f>Sheet1!$E$1</c:f>
              <c:strCache>
                <c:ptCount val="1"/>
                <c:pt idx="0">
                  <c:v>FID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Sheet1!$A$9:$B$15</c:f>
              <c:multiLvlStrCache>
                <c:ptCount val="7"/>
                <c:lvl>
                  <c:pt idx="0">
                    <c:v>CK8-18</c:v>
                  </c:pt>
                  <c:pt idx="1">
                    <c:v>Ki67</c:v>
                  </c:pt>
                  <c:pt idx="2">
                    <c:v>CK5</c:v>
                  </c:pt>
                  <c:pt idx="3">
                    <c:v>pHH3</c:v>
                  </c:pt>
                  <c:pt idx="4">
                    <c:v>HER2</c:v>
                  </c:pt>
                  <c:pt idx="5">
                    <c:v>Pan-CK</c:v>
                  </c:pt>
                  <c:pt idx="6">
                    <c:v>H3K27me</c:v>
                  </c:pt>
                </c:lvl>
                <c:lvl>
                  <c:pt idx="0">
                    <c:v>Jackson</c:v>
                  </c:pt>
                </c:lvl>
              </c:multiLvlStrCache>
            </c:multiLvlStrRef>
          </c:cat>
          <c:val>
            <c:numRef>
              <c:f>Sheet1!$E$9:$E$15</c:f>
              <c:numCache>
                <c:formatCode>General</c:formatCode>
                <c:ptCount val="7"/>
                <c:pt idx="0">
                  <c:v>257.05</c:v>
                </c:pt>
                <c:pt idx="1">
                  <c:v>295.01</c:v>
                </c:pt>
                <c:pt idx="2">
                  <c:v>270.7</c:v>
                </c:pt>
                <c:pt idx="3">
                  <c:v>317.12</c:v>
                </c:pt>
                <c:pt idx="4">
                  <c:v>240.74</c:v>
                </c:pt>
                <c:pt idx="5">
                  <c:v>298.39999999999998</c:v>
                </c:pt>
                <c:pt idx="6">
                  <c:v>253.4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F8-448E-8424-F828939EB6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7638511"/>
        <c:axId val="457638927"/>
      </c:barChart>
      <c:catAx>
        <c:axId val="45763851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57638927"/>
        <c:crosses val="autoZero"/>
        <c:auto val="1"/>
        <c:lblAlgn val="ctr"/>
        <c:lblOffset val="100"/>
        <c:noMultiLvlLbl val="0"/>
      </c:catAx>
      <c:valAx>
        <c:axId val="457638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7638511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066409412523769"/>
          <c:y val="4.6013982938524219E-2"/>
          <c:w val="0.8092420285807217"/>
          <c:h val="0.78549247428532487"/>
        </c:manualLayout>
      </c:layout>
      <c:barChart>
        <c:barDir val="bar"/>
        <c:grouping val="clustered"/>
        <c:varyColors val="0"/>
        <c:ser>
          <c:idx val="5"/>
          <c:order val="0"/>
          <c:tx>
            <c:strRef>
              <c:f>Sheet1!$I$77</c:f>
              <c:strCache>
                <c:ptCount val="1"/>
                <c:pt idx="0">
                  <c:v>HyperConv + aug.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val>
            <c:numRef>
              <c:f>Sheet1!$I$78:$I$88</c:f>
              <c:numCache>
                <c:formatCode>0.000</c:formatCode>
                <c:ptCount val="11"/>
                <c:pt idx="0">
                  <c:v>0.19059999999999999</c:v>
                </c:pt>
                <c:pt idx="1">
                  <c:v>0.13650000000000001</c:v>
                </c:pt>
                <c:pt idx="2">
                  <c:v>0.29160000000000003</c:v>
                </c:pt>
                <c:pt idx="3">
                  <c:v>0.4743</c:v>
                </c:pt>
                <c:pt idx="6">
                  <c:v>0.121</c:v>
                </c:pt>
                <c:pt idx="7">
                  <c:v>0.28460000000000002</c:v>
                </c:pt>
                <c:pt idx="8">
                  <c:v>0.1958</c:v>
                </c:pt>
                <c:pt idx="9">
                  <c:v>0.45140000000000002</c:v>
                </c:pt>
                <c:pt idx="10">
                  <c:v>0.63780000000000003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288-436F-8A40-719492950D50}"/>
            </c:ext>
          </c:extLst>
        </c:ser>
        <c:ser>
          <c:idx val="4"/>
          <c:order val="1"/>
          <c:tx>
            <c:strRef>
              <c:f>Sheet1!$H$77</c:f>
              <c:strCache>
                <c:ptCount val="1"/>
                <c:pt idx="0">
                  <c:v>HyperConv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Sheet1!$A$94:$B$104</c:f>
              <c:multiLvlStrCache>
                <c:ptCount val="11"/>
                <c:lvl>
                  <c:pt idx="0">
                    <c:v>CD3</c:v>
                  </c:pt>
                  <c:pt idx="1">
                    <c:v>CD68</c:v>
                  </c:pt>
                  <c:pt idx="2">
                    <c:v>CD20</c:v>
                  </c:pt>
                  <c:pt idx="3">
                    <c:v>CD45</c:v>
                  </c:pt>
                  <c:pt idx="4">
                    <c:v>sma</c:v>
                  </c:pt>
                  <c:pt idx="5">
                    <c:v>Pan-CK</c:v>
                  </c:pt>
                  <c:pt idx="6">
                    <c:v>CK5</c:v>
                  </c:pt>
                  <c:pt idx="7">
                    <c:v>CK8-18</c:v>
                  </c:pt>
                  <c:pt idx="8">
                    <c:v>Ki67</c:v>
                  </c:pt>
                  <c:pt idx="9">
                    <c:v>HER2</c:v>
                  </c:pt>
                  <c:pt idx="10">
                    <c:v>ERa</c:v>
                  </c:pt>
                </c:lvl>
                <c:lvl>
                  <c:pt idx="0">
                    <c:v>Immune</c:v>
                  </c:pt>
                  <c:pt idx="4">
                    <c:v>Identity</c:v>
                  </c:pt>
                  <c:pt idx="8">
                    <c:v>Clinical</c:v>
                  </c:pt>
                </c:lvl>
              </c:multiLvlStrCache>
            </c:multiLvlStrRef>
          </c:cat>
          <c:val>
            <c:numRef>
              <c:f>Sheet1!$H$78:$H$88</c:f>
              <c:numCache>
                <c:formatCode>0.000</c:formatCode>
                <c:ptCount val="11"/>
                <c:pt idx="0">
                  <c:v>0.1565</c:v>
                </c:pt>
                <c:pt idx="1">
                  <c:v>0.11940000000000001</c:v>
                </c:pt>
                <c:pt idx="2">
                  <c:v>0.25340000000000001</c:v>
                </c:pt>
                <c:pt idx="3">
                  <c:v>0.43669999999999998</c:v>
                </c:pt>
                <c:pt idx="4">
                  <c:v>0.39100000000000001</c:v>
                </c:pt>
                <c:pt idx="5">
                  <c:v>0.38890000000000002</c:v>
                </c:pt>
                <c:pt idx="6">
                  <c:v>0.12429999999999999</c:v>
                </c:pt>
                <c:pt idx="7">
                  <c:v>0.25259999999999999</c:v>
                </c:pt>
                <c:pt idx="8">
                  <c:v>0.18329999999999999</c:v>
                </c:pt>
                <c:pt idx="9">
                  <c:v>0.41199999999999998</c:v>
                </c:pt>
                <c:pt idx="10">
                  <c:v>0.63560000000000005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CA-4080-9617-B6D2625EA2A0}"/>
            </c:ext>
          </c:extLst>
        </c:ser>
        <c:ser>
          <c:idx val="2"/>
          <c:order val="3"/>
          <c:tx>
            <c:strRef>
              <c:f>Sheet1!$F$77</c:f>
              <c:strCache>
                <c:ptCount val="1"/>
                <c:pt idx="0">
                  <c:v>Res-UNet (PCA-&gt; conv1)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Sheet1!$A$94:$B$104</c:f>
              <c:multiLvlStrCache>
                <c:ptCount val="11"/>
                <c:lvl>
                  <c:pt idx="0">
                    <c:v>CD3</c:v>
                  </c:pt>
                  <c:pt idx="1">
                    <c:v>CD68</c:v>
                  </c:pt>
                  <c:pt idx="2">
                    <c:v>CD20</c:v>
                  </c:pt>
                  <c:pt idx="3">
                    <c:v>CD45</c:v>
                  </c:pt>
                  <c:pt idx="4">
                    <c:v>sma</c:v>
                  </c:pt>
                  <c:pt idx="5">
                    <c:v>Pan-CK</c:v>
                  </c:pt>
                  <c:pt idx="6">
                    <c:v>CK5</c:v>
                  </c:pt>
                  <c:pt idx="7">
                    <c:v>CK8-18</c:v>
                  </c:pt>
                  <c:pt idx="8">
                    <c:v>Ki67</c:v>
                  </c:pt>
                  <c:pt idx="9">
                    <c:v>HER2</c:v>
                  </c:pt>
                  <c:pt idx="10">
                    <c:v>ERa</c:v>
                  </c:pt>
                </c:lvl>
                <c:lvl>
                  <c:pt idx="0">
                    <c:v>Immune</c:v>
                  </c:pt>
                  <c:pt idx="4">
                    <c:v>Identity</c:v>
                  </c:pt>
                  <c:pt idx="8">
                    <c:v>Clinical</c:v>
                  </c:pt>
                </c:lvl>
              </c:multiLvlStrCache>
            </c:multiLvlStrRef>
          </c:cat>
          <c:val>
            <c:numRef>
              <c:f>Sheet1!$F$78:$F$88</c:f>
              <c:numCache>
                <c:formatCode>0.000</c:formatCode>
                <c:ptCount val="11"/>
                <c:pt idx="0">
                  <c:v>0.13469999999999999</c:v>
                </c:pt>
                <c:pt idx="1">
                  <c:v>9.5600000000000004E-2</c:v>
                </c:pt>
                <c:pt idx="2">
                  <c:v>0.22020000000000001</c:v>
                </c:pt>
                <c:pt idx="3">
                  <c:v>0.38390000000000002</c:v>
                </c:pt>
                <c:pt idx="4">
                  <c:v>6.2E-2</c:v>
                </c:pt>
                <c:pt idx="5">
                  <c:v>0.58699999999999997</c:v>
                </c:pt>
                <c:pt idx="6">
                  <c:v>7.5999999999999998E-2</c:v>
                </c:pt>
                <c:pt idx="7">
                  <c:v>0.38540000000000002</c:v>
                </c:pt>
                <c:pt idx="8">
                  <c:v>0.1497</c:v>
                </c:pt>
                <c:pt idx="9">
                  <c:v>0.45429999999999998</c:v>
                </c:pt>
                <c:pt idx="10">
                  <c:v>0.55469999999999997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E3-44FD-9875-BE5693CA14EC}"/>
            </c:ext>
          </c:extLst>
        </c:ser>
        <c:ser>
          <c:idx val="0"/>
          <c:order val="5"/>
          <c:tx>
            <c:strRef>
              <c:f>Sheet1!$E$77</c:f>
              <c:strCache>
                <c:ptCount val="1"/>
                <c:pt idx="0">
                  <c:v>Res-UNet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Sheet1!$A$94:$B$104</c:f>
              <c:multiLvlStrCache>
                <c:ptCount val="11"/>
                <c:lvl>
                  <c:pt idx="0">
                    <c:v>CD3</c:v>
                  </c:pt>
                  <c:pt idx="1">
                    <c:v>CD68</c:v>
                  </c:pt>
                  <c:pt idx="2">
                    <c:v>CD20</c:v>
                  </c:pt>
                  <c:pt idx="3">
                    <c:v>CD45</c:v>
                  </c:pt>
                  <c:pt idx="4">
                    <c:v>sma</c:v>
                  </c:pt>
                  <c:pt idx="5">
                    <c:v>Pan-CK</c:v>
                  </c:pt>
                  <c:pt idx="6">
                    <c:v>CK5</c:v>
                  </c:pt>
                  <c:pt idx="7">
                    <c:v>CK8-18</c:v>
                  </c:pt>
                  <c:pt idx="8">
                    <c:v>Ki67</c:v>
                  </c:pt>
                  <c:pt idx="9">
                    <c:v>HER2</c:v>
                  </c:pt>
                  <c:pt idx="10">
                    <c:v>ERa</c:v>
                  </c:pt>
                </c:lvl>
                <c:lvl>
                  <c:pt idx="0">
                    <c:v>Immune</c:v>
                  </c:pt>
                  <c:pt idx="4">
                    <c:v>Identity</c:v>
                  </c:pt>
                  <c:pt idx="8">
                    <c:v>Clinical</c:v>
                  </c:pt>
                </c:lvl>
              </c:multiLvlStrCache>
            </c:multiLvlStrRef>
          </c:cat>
          <c:val>
            <c:numRef>
              <c:f>Sheet1!$E$78:$E$88</c:f>
              <c:numCache>
                <c:formatCode>0.000</c:formatCode>
                <c:ptCount val="11"/>
                <c:pt idx="0">
                  <c:v>0.15</c:v>
                </c:pt>
                <c:pt idx="1">
                  <c:v>0.16</c:v>
                </c:pt>
                <c:pt idx="2">
                  <c:v>0.188</c:v>
                </c:pt>
                <c:pt idx="3">
                  <c:v>0.38600000000000001</c:v>
                </c:pt>
                <c:pt idx="4">
                  <c:v>2.5999999999999999E-2</c:v>
                </c:pt>
                <c:pt idx="5">
                  <c:v>0.13500000000000001</c:v>
                </c:pt>
                <c:pt idx="6">
                  <c:v>7.8E-2</c:v>
                </c:pt>
                <c:pt idx="7">
                  <c:v>0.39400000000000002</c:v>
                </c:pt>
                <c:pt idx="8">
                  <c:v>0.111</c:v>
                </c:pt>
                <c:pt idx="9">
                  <c:v>0.41499999999999998</c:v>
                </c:pt>
                <c:pt idx="10">
                  <c:v>0.58599999999999997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98-48E2-A025-73C7EDC327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0038527"/>
        <c:axId val="450038943"/>
        <c:extLst>
          <c:ext xmlns:c15="http://schemas.microsoft.com/office/drawing/2012/chart" uri="{02D57815-91ED-43cb-92C2-25804820EDAC}">
            <c15:filteredBar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Sheet1!$G$77</c15:sqref>
                        </c15:formulaRef>
                      </c:ext>
                    </c:extLst>
                    <c:strCache>
                      <c:ptCount val="1"/>
                      <c:pt idx="0">
                        <c:v>Joint Res-UNet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Sheet1!$A$94:$B$104</c15:sqref>
                        </c15:formulaRef>
                      </c:ext>
                    </c:extLst>
                    <c:multiLvlStrCache>
                      <c:ptCount val="11"/>
                      <c:lvl>
                        <c:pt idx="0">
                          <c:v>CD3</c:v>
                        </c:pt>
                        <c:pt idx="1">
                          <c:v>CD68</c:v>
                        </c:pt>
                        <c:pt idx="2">
                          <c:v>CD20</c:v>
                        </c:pt>
                        <c:pt idx="3">
                          <c:v>CD45</c:v>
                        </c:pt>
                        <c:pt idx="4">
                          <c:v>sma</c:v>
                        </c:pt>
                        <c:pt idx="5">
                          <c:v>Pan-CK</c:v>
                        </c:pt>
                        <c:pt idx="6">
                          <c:v>CK5</c:v>
                        </c:pt>
                        <c:pt idx="7">
                          <c:v>CK8-18</c:v>
                        </c:pt>
                        <c:pt idx="8">
                          <c:v>Ki67</c:v>
                        </c:pt>
                        <c:pt idx="9">
                          <c:v>HER2</c:v>
                        </c:pt>
                        <c:pt idx="10">
                          <c:v>ERa</c:v>
                        </c:pt>
                      </c:lvl>
                      <c:lvl>
                        <c:pt idx="0">
                          <c:v>Immune</c:v>
                        </c:pt>
                        <c:pt idx="4">
                          <c:v>Identity</c:v>
                        </c:pt>
                        <c:pt idx="8">
                          <c:v>Clinical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Sheet1!$G$78:$G$88</c15:sqref>
                        </c15:formulaRef>
                      </c:ext>
                    </c:extLst>
                    <c:numCache>
                      <c:formatCode>0.000</c:formatCode>
                      <c:ptCount val="11"/>
                      <c:pt idx="0">
                        <c:v>0.1472</c:v>
                      </c:pt>
                      <c:pt idx="1">
                        <c:v>7.8799999999999995E-2</c:v>
                      </c:pt>
                      <c:pt idx="2">
                        <c:v>0.2397</c:v>
                      </c:pt>
                      <c:pt idx="3">
                        <c:v>0.39240000000000003</c:v>
                      </c:pt>
                      <c:pt idx="4">
                        <c:v>0.37530000000000002</c:v>
                      </c:pt>
                      <c:pt idx="5">
                        <c:v>0.38500000000000001</c:v>
                      </c:pt>
                      <c:pt idx="6">
                        <c:v>0.1037</c:v>
                      </c:pt>
                      <c:pt idx="7">
                        <c:v>0.26869999999999999</c:v>
                      </c:pt>
                      <c:pt idx="8">
                        <c:v>0.1832</c:v>
                      </c:pt>
                      <c:pt idx="9">
                        <c:v>0.316</c:v>
                      </c:pt>
                      <c:pt idx="10">
                        <c:v>0.60829999999999995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AF0-47CA-B540-E68CD22BD110}"/>
                  </c:ext>
                </c:extLst>
              </c15:ser>
            </c15:filteredBarSeries>
            <c15:filteredBarSeries>
              <c15:ser>
                <c:idx val="1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Sheet1!$D$77</c15:sqref>
                        </c15:formulaRef>
                      </c:ext>
                    </c:extLst>
                    <c:strCache>
                      <c:ptCount val="1"/>
                      <c:pt idx="0">
                        <c:v>ResUNet (PCA)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Sheet1!$A$94:$B$104</c15:sqref>
                        </c15:formulaRef>
                      </c:ext>
                    </c:extLst>
                    <c:multiLvlStrCache>
                      <c:ptCount val="11"/>
                      <c:lvl>
                        <c:pt idx="0">
                          <c:v>CD3</c:v>
                        </c:pt>
                        <c:pt idx="1">
                          <c:v>CD68</c:v>
                        </c:pt>
                        <c:pt idx="2">
                          <c:v>CD20</c:v>
                        </c:pt>
                        <c:pt idx="3">
                          <c:v>CD45</c:v>
                        </c:pt>
                        <c:pt idx="4">
                          <c:v>sma</c:v>
                        </c:pt>
                        <c:pt idx="5">
                          <c:v>Pan-CK</c:v>
                        </c:pt>
                        <c:pt idx="6">
                          <c:v>CK5</c:v>
                        </c:pt>
                        <c:pt idx="7">
                          <c:v>CK8-18</c:v>
                        </c:pt>
                        <c:pt idx="8">
                          <c:v>Ki67</c:v>
                        </c:pt>
                        <c:pt idx="9">
                          <c:v>HER2</c:v>
                        </c:pt>
                        <c:pt idx="10">
                          <c:v>ERa</c:v>
                        </c:pt>
                      </c:lvl>
                      <c:lvl>
                        <c:pt idx="0">
                          <c:v>Immune</c:v>
                        </c:pt>
                        <c:pt idx="4">
                          <c:v>Identity</c:v>
                        </c:pt>
                        <c:pt idx="8">
                          <c:v>Clinical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Sheet1!$D$78:$D$88</c15:sqref>
                        </c15:formulaRef>
                      </c:ext>
                    </c:extLst>
                    <c:numCache>
                      <c:formatCode>0.000</c:formatCode>
                      <c:ptCount val="11"/>
                      <c:pt idx="0">
                        <c:v>0.14710000000000001</c:v>
                      </c:pt>
                      <c:pt idx="1">
                        <c:v>9.6000000000000002E-2</c:v>
                      </c:pt>
                      <c:pt idx="2">
                        <c:v>0.21759999999999999</c:v>
                      </c:pt>
                      <c:pt idx="3">
                        <c:v>0.37040000000000001</c:v>
                      </c:pt>
                      <c:pt idx="4">
                        <c:v>0.13</c:v>
                      </c:pt>
                      <c:pt idx="5">
                        <c:v>0.57399999999999995</c:v>
                      </c:pt>
                      <c:pt idx="6">
                        <c:v>8.0799999999999997E-2</c:v>
                      </c:pt>
                      <c:pt idx="7">
                        <c:v>0.36820000000000003</c:v>
                      </c:pt>
                      <c:pt idx="8">
                        <c:v>0.17499999999999999</c:v>
                      </c:pt>
                      <c:pt idx="9">
                        <c:v>0.45</c:v>
                      </c:pt>
                      <c:pt idx="10">
                        <c:v>0.57750000000000001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EE61-4435-AE78-9073A36085FA}"/>
                  </c:ext>
                </c:extLst>
              </c15:ser>
            </c15:filteredBarSeries>
          </c:ext>
        </c:extLst>
      </c:barChart>
      <c:catAx>
        <c:axId val="450038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0038943"/>
        <c:crosses val="autoZero"/>
        <c:auto val="1"/>
        <c:lblAlgn val="ctr"/>
        <c:lblOffset val="100"/>
        <c:noMultiLvlLbl val="0"/>
      </c:catAx>
      <c:valAx>
        <c:axId val="450038943"/>
        <c:scaling>
          <c:orientation val="minMax"/>
          <c:max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Pearson's corr.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0038527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121068680031891"/>
          <c:y val="0.33712374072275819"/>
          <c:w val="0.27043277862487658"/>
          <c:h val="0.471718018559813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86383175358807"/>
          <c:y val="4.8198723648115505E-2"/>
          <c:w val="0.82068487737219653"/>
          <c:h val="0.7825165659319578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Sheet1!$E$77</c:f>
              <c:strCache>
                <c:ptCount val="1"/>
                <c:pt idx="0">
                  <c:v>Res-UNet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Sheet1!$A$94:$B$104</c:f>
              <c:multiLvlStrCache>
                <c:ptCount val="11"/>
                <c:lvl>
                  <c:pt idx="0">
                    <c:v>CD3</c:v>
                  </c:pt>
                  <c:pt idx="1">
                    <c:v>CD68</c:v>
                  </c:pt>
                  <c:pt idx="2">
                    <c:v>CD20</c:v>
                  </c:pt>
                  <c:pt idx="3">
                    <c:v>CD45</c:v>
                  </c:pt>
                  <c:pt idx="4">
                    <c:v>sma</c:v>
                  </c:pt>
                  <c:pt idx="5">
                    <c:v>Pan-CK</c:v>
                  </c:pt>
                  <c:pt idx="6">
                    <c:v>CK5</c:v>
                  </c:pt>
                  <c:pt idx="7">
                    <c:v>CK8-18</c:v>
                  </c:pt>
                  <c:pt idx="8">
                    <c:v>Ki67</c:v>
                  </c:pt>
                  <c:pt idx="9">
                    <c:v>HER2</c:v>
                  </c:pt>
                  <c:pt idx="10">
                    <c:v>ERa</c:v>
                  </c:pt>
                </c:lvl>
                <c:lvl>
                  <c:pt idx="0">
                    <c:v>Immune</c:v>
                  </c:pt>
                  <c:pt idx="4">
                    <c:v>Identity</c:v>
                  </c:pt>
                  <c:pt idx="8">
                    <c:v>Clinical</c:v>
                  </c:pt>
                </c:lvl>
              </c:multiLvlStrCache>
            </c:multiLvlStrRef>
          </c:cat>
          <c:val>
            <c:numRef>
              <c:f>Sheet1!$E$94:$E$104</c:f>
              <c:numCache>
                <c:formatCode>General</c:formatCode>
                <c:ptCount val="11"/>
                <c:pt idx="0">
                  <c:v>320.5</c:v>
                </c:pt>
                <c:pt idx="1">
                  <c:v>282.99</c:v>
                </c:pt>
                <c:pt idx="2">
                  <c:v>270.92</c:v>
                </c:pt>
                <c:pt idx="3">
                  <c:v>167.42</c:v>
                </c:pt>
                <c:pt idx="4">
                  <c:v>195.12</c:v>
                </c:pt>
                <c:pt idx="5">
                  <c:v>263.81</c:v>
                </c:pt>
                <c:pt idx="6">
                  <c:v>378.26</c:v>
                </c:pt>
                <c:pt idx="7">
                  <c:v>226.95</c:v>
                </c:pt>
                <c:pt idx="8">
                  <c:v>261.54000000000002</c:v>
                </c:pt>
                <c:pt idx="9">
                  <c:v>205.73</c:v>
                </c:pt>
                <c:pt idx="10">
                  <c:v>209.25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B0-4838-A5E9-4E786294BD7E}"/>
            </c:ext>
          </c:extLst>
        </c:ser>
        <c:ser>
          <c:idx val="2"/>
          <c:order val="1"/>
          <c:tx>
            <c:strRef>
              <c:f>Sheet1!$D$77</c:f>
              <c:strCache>
                <c:ptCount val="1"/>
                <c:pt idx="0">
                  <c:v>ResUNet (PCA)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Sheet1!$A$94:$B$104</c:f>
              <c:multiLvlStrCache>
                <c:ptCount val="11"/>
                <c:lvl>
                  <c:pt idx="0">
                    <c:v>CD3</c:v>
                  </c:pt>
                  <c:pt idx="1">
                    <c:v>CD68</c:v>
                  </c:pt>
                  <c:pt idx="2">
                    <c:v>CD20</c:v>
                  </c:pt>
                  <c:pt idx="3">
                    <c:v>CD45</c:v>
                  </c:pt>
                  <c:pt idx="4">
                    <c:v>sma</c:v>
                  </c:pt>
                  <c:pt idx="5">
                    <c:v>Pan-CK</c:v>
                  </c:pt>
                  <c:pt idx="6">
                    <c:v>CK5</c:v>
                  </c:pt>
                  <c:pt idx="7">
                    <c:v>CK8-18</c:v>
                  </c:pt>
                  <c:pt idx="8">
                    <c:v>Ki67</c:v>
                  </c:pt>
                  <c:pt idx="9">
                    <c:v>HER2</c:v>
                  </c:pt>
                  <c:pt idx="10">
                    <c:v>ERa</c:v>
                  </c:pt>
                </c:lvl>
                <c:lvl>
                  <c:pt idx="0">
                    <c:v>Immune</c:v>
                  </c:pt>
                  <c:pt idx="4">
                    <c:v>Identity</c:v>
                  </c:pt>
                  <c:pt idx="8">
                    <c:v>Clinical</c:v>
                  </c:pt>
                </c:lvl>
              </c:multiLvlStrCache>
            </c:multiLvlStrRef>
          </c:cat>
          <c:val>
            <c:numRef>
              <c:f>Sheet1!$D$94:$D$104</c:f>
              <c:numCache>
                <c:formatCode>0.0</c:formatCode>
                <c:ptCount val="11"/>
                <c:pt idx="0">
                  <c:v>346</c:v>
                </c:pt>
                <c:pt idx="1">
                  <c:v>361</c:v>
                </c:pt>
                <c:pt idx="2">
                  <c:v>351</c:v>
                </c:pt>
                <c:pt idx="3">
                  <c:v>206</c:v>
                </c:pt>
                <c:pt idx="4">
                  <c:v>186.9</c:v>
                </c:pt>
                <c:pt idx="5">
                  <c:v>198</c:v>
                </c:pt>
                <c:pt idx="6">
                  <c:v>337</c:v>
                </c:pt>
                <c:pt idx="7">
                  <c:v>189.6</c:v>
                </c:pt>
                <c:pt idx="8">
                  <c:v>263</c:v>
                </c:pt>
                <c:pt idx="9">
                  <c:v>161.5</c:v>
                </c:pt>
                <c:pt idx="10">
                  <c:v>166.5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0D-4632-9F6D-E582F1EAE94B}"/>
            </c:ext>
          </c:extLst>
        </c:ser>
        <c:ser>
          <c:idx val="3"/>
          <c:order val="2"/>
          <c:tx>
            <c:strRef>
              <c:f>Sheet1!$F$77</c:f>
              <c:strCache>
                <c:ptCount val="1"/>
                <c:pt idx="0">
                  <c:v>Res-UNet (PCA-&gt; conv1)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Sheet1!$A$94:$B$104</c:f>
              <c:multiLvlStrCache>
                <c:ptCount val="11"/>
                <c:lvl>
                  <c:pt idx="0">
                    <c:v>CD3</c:v>
                  </c:pt>
                  <c:pt idx="1">
                    <c:v>CD68</c:v>
                  </c:pt>
                  <c:pt idx="2">
                    <c:v>CD20</c:v>
                  </c:pt>
                  <c:pt idx="3">
                    <c:v>CD45</c:v>
                  </c:pt>
                  <c:pt idx="4">
                    <c:v>sma</c:v>
                  </c:pt>
                  <c:pt idx="5">
                    <c:v>Pan-CK</c:v>
                  </c:pt>
                  <c:pt idx="6">
                    <c:v>CK5</c:v>
                  </c:pt>
                  <c:pt idx="7">
                    <c:v>CK8-18</c:v>
                  </c:pt>
                  <c:pt idx="8">
                    <c:v>Ki67</c:v>
                  </c:pt>
                  <c:pt idx="9">
                    <c:v>HER2</c:v>
                  </c:pt>
                  <c:pt idx="10">
                    <c:v>ERa</c:v>
                  </c:pt>
                </c:lvl>
                <c:lvl>
                  <c:pt idx="0">
                    <c:v>Immune</c:v>
                  </c:pt>
                  <c:pt idx="4">
                    <c:v>Identity</c:v>
                  </c:pt>
                  <c:pt idx="8">
                    <c:v>Clinical</c:v>
                  </c:pt>
                </c:lvl>
              </c:multiLvlStrCache>
            </c:multiLvlStrRef>
          </c:cat>
          <c:val>
            <c:numRef>
              <c:f>Sheet1!$F$94:$F$104</c:f>
              <c:numCache>
                <c:formatCode>General</c:formatCode>
                <c:ptCount val="11"/>
                <c:pt idx="0">
                  <c:v>335.6</c:v>
                </c:pt>
                <c:pt idx="1">
                  <c:v>371.7</c:v>
                </c:pt>
                <c:pt idx="2">
                  <c:v>307.8</c:v>
                </c:pt>
                <c:pt idx="3">
                  <c:v>187.85</c:v>
                </c:pt>
                <c:pt idx="4" formatCode="0.00">
                  <c:v>208.06</c:v>
                </c:pt>
                <c:pt idx="5">
                  <c:v>223.67</c:v>
                </c:pt>
                <c:pt idx="6">
                  <c:v>345.61</c:v>
                </c:pt>
                <c:pt idx="7">
                  <c:v>223.14</c:v>
                </c:pt>
                <c:pt idx="8">
                  <c:v>274.22000000000003</c:v>
                </c:pt>
                <c:pt idx="9">
                  <c:v>170.05</c:v>
                </c:pt>
                <c:pt idx="10">
                  <c:v>201.57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6A-4D55-AD9F-871EEED13386}"/>
            </c:ext>
          </c:extLst>
        </c:ser>
        <c:ser>
          <c:idx val="1"/>
          <c:order val="3"/>
          <c:tx>
            <c:strRef>
              <c:f>Sheet1!$G$77</c:f>
              <c:strCache>
                <c:ptCount val="1"/>
                <c:pt idx="0">
                  <c:v>Joint Res-UNet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Sheet1!$A$94:$B$104</c:f>
              <c:multiLvlStrCache>
                <c:ptCount val="11"/>
                <c:lvl>
                  <c:pt idx="0">
                    <c:v>CD3</c:v>
                  </c:pt>
                  <c:pt idx="1">
                    <c:v>CD68</c:v>
                  </c:pt>
                  <c:pt idx="2">
                    <c:v>CD20</c:v>
                  </c:pt>
                  <c:pt idx="3">
                    <c:v>CD45</c:v>
                  </c:pt>
                  <c:pt idx="4">
                    <c:v>sma</c:v>
                  </c:pt>
                  <c:pt idx="5">
                    <c:v>Pan-CK</c:v>
                  </c:pt>
                  <c:pt idx="6">
                    <c:v>CK5</c:v>
                  </c:pt>
                  <c:pt idx="7">
                    <c:v>CK8-18</c:v>
                  </c:pt>
                  <c:pt idx="8">
                    <c:v>Ki67</c:v>
                  </c:pt>
                  <c:pt idx="9">
                    <c:v>HER2</c:v>
                  </c:pt>
                  <c:pt idx="10">
                    <c:v>ERa</c:v>
                  </c:pt>
                </c:lvl>
                <c:lvl>
                  <c:pt idx="0">
                    <c:v>Immune</c:v>
                  </c:pt>
                  <c:pt idx="4">
                    <c:v>Identity</c:v>
                  </c:pt>
                  <c:pt idx="8">
                    <c:v>Clinical</c:v>
                  </c:pt>
                </c:lvl>
              </c:multiLvlStrCache>
            </c:multiLvlStrRef>
          </c:cat>
          <c:val>
            <c:numRef>
              <c:f>Sheet1!$G$94:$G$104</c:f>
              <c:numCache>
                <c:formatCode>General</c:formatCode>
                <c:ptCount val="11"/>
                <c:pt idx="0">
                  <c:v>190.6</c:v>
                </c:pt>
                <c:pt idx="1">
                  <c:v>182.4</c:v>
                </c:pt>
                <c:pt idx="2">
                  <c:v>189.68</c:v>
                </c:pt>
                <c:pt idx="3">
                  <c:v>239.58</c:v>
                </c:pt>
                <c:pt idx="4" formatCode="0.00">
                  <c:v>241.3</c:v>
                </c:pt>
                <c:pt idx="5">
                  <c:v>260.10000000000002</c:v>
                </c:pt>
                <c:pt idx="6">
                  <c:v>218.71</c:v>
                </c:pt>
                <c:pt idx="7">
                  <c:v>200.8</c:v>
                </c:pt>
                <c:pt idx="8">
                  <c:v>167.77</c:v>
                </c:pt>
                <c:pt idx="9">
                  <c:v>224.26</c:v>
                </c:pt>
                <c:pt idx="10">
                  <c:v>317.08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27-4B9D-B97F-49E39068292C}"/>
            </c:ext>
          </c:extLst>
        </c:ser>
        <c:ser>
          <c:idx val="4"/>
          <c:order val="4"/>
          <c:tx>
            <c:strRef>
              <c:f>Sheet1!$H$77</c:f>
              <c:strCache>
                <c:ptCount val="1"/>
                <c:pt idx="0">
                  <c:v>HyperConv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Sheet1!$A$94:$B$104</c:f>
              <c:multiLvlStrCache>
                <c:ptCount val="11"/>
                <c:lvl>
                  <c:pt idx="0">
                    <c:v>CD3</c:v>
                  </c:pt>
                  <c:pt idx="1">
                    <c:v>CD68</c:v>
                  </c:pt>
                  <c:pt idx="2">
                    <c:v>CD20</c:v>
                  </c:pt>
                  <c:pt idx="3">
                    <c:v>CD45</c:v>
                  </c:pt>
                  <c:pt idx="4">
                    <c:v>sma</c:v>
                  </c:pt>
                  <c:pt idx="5">
                    <c:v>Pan-CK</c:v>
                  </c:pt>
                  <c:pt idx="6">
                    <c:v>CK5</c:v>
                  </c:pt>
                  <c:pt idx="7">
                    <c:v>CK8-18</c:v>
                  </c:pt>
                  <c:pt idx="8">
                    <c:v>Ki67</c:v>
                  </c:pt>
                  <c:pt idx="9">
                    <c:v>HER2</c:v>
                  </c:pt>
                  <c:pt idx="10">
                    <c:v>ERa</c:v>
                  </c:pt>
                </c:lvl>
                <c:lvl>
                  <c:pt idx="0">
                    <c:v>Immune</c:v>
                  </c:pt>
                  <c:pt idx="4">
                    <c:v>Identity</c:v>
                  </c:pt>
                  <c:pt idx="8">
                    <c:v>Clinical</c:v>
                  </c:pt>
                </c:lvl>
              </c:multiLvlStrCache>
            </c:multiLvlStrRef>
          </c:cat>
          <c:val>
            <c:numRef>
              <c:f>Sheet1!$H$94:$H$104</c:f>
              <c:numCache>
                <c:formatCode>General</c:formatCode>
                <c:ptCount val="11"/>
                <c:pt idx="0">
                  <c:v>203.67</c:v>
                </c:pt>
                <c:pt idx="1">
                  <c:v>225.73</c:v>
                </c:pt>
                <c:pt idx="2">
                  <c:v>204.3</c:v>
                </c:pt>
                <c:pt idx="3">
                  <c:v>248.8</c:v>
                </c:pt>
                <c:pt idx="4" formatCode="0.00">
                  <c:v>234.77</c:v>
                </c:pt>
                <c:pt idx="5">
                  <c:v>287.91000000000003</c:v>
                </c:pt>
                <c:pt idx="6">
                  <c:v>240.87</c:v>
                </c:pt>
                <c:pt idx="7">
                  <c:v>201.04</c:v>
                </c:pt>
                <c:pt idx="8">
                  <c:v>177.4</c:v>
                </c:pt>
                <c:pt idx="9">
                  <c:v>225.75</c:v>
                </c:pt>
                <c:pt idx="10">
                  <c:v>324.5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15-48EA-A419-28104F8457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0038527"/>
        <c:axId val="450038943"/>
        <c:extLst/>
      </c:barChart>
      <c:catAx>
        <c:axId val="450038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0038943"/>
        <c:crosses val="autoZero"/>
        <c:auto val="1"/>
        <c:lblAlgn val="ctr"/>
        <c:lblOffset val="100"/>
        <c:noMultiLvlLbl val="0"/>
      </c:catAx>
      <c:valAx>
        <c:axId val="450038943"/>
        <c:scaling>
          <c:orientation val="minMax"/>
          <c:max val="5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FID (lower is better)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0038527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/>
      </a:pPr>
      <a:endParaRPr lang="LID4096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82997464300011"/>
          <c:y val="4.8198723648115505E-2"/>
          <c:w val="0.84271880421726941"/>
          <c:h val="0.78251656593195784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Sheet1!$D$32</c:f>
              <c:strCache>
                <c:ptCount val="1"/>
                <c:pt idx="0">
                  <c:v>J2D</c:v>
                </c:pt>
              </c:strCache>
            </c:strRef>
          </c:tx>
          <c:spPr>
            <a:solidFill>
              <a:schemeClr val="tx2"/>
            </a:solidFill>
            <a:ln w="38100"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Sheet1!$B$37:$B$43</c15:sqref>
                  </c15:fullRef>
                </c:ext>
              </c:extLst>
              <c:f>(Sheet1!$B$37,Sheet1!$B$42:$B$43)</c:f>
              <c:strCache>
                <c:ptCount val="3"/>
                <c:pt idx="0">
                  <c:v>Ki67</c:v>
                </c:pt>
                <c:pt idx="1">
                  <c:v>HER2</c:v>
                </c:pt>
                <c:pt idx="2">
                  <c:v>ERa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Sheet1!$D$37:$D$43</c15:sqref>
                  </c15:fullRef>
                </c:ext>
              </c:extLst>
              <c:f>(Sheet1!$D$37,Sheet1!$D$42:$D$43)</c:f>
              <c:numCache>
                <c:formatCode>General</c:formatCode>
                <c:ptCount val="3"/>
                <c:pt idx="0">
                  <c:v>263</c:v>
                </c:pt>
                <c:pt idx="1">
                  <c:v>161.5</c:v>
                </c:pt>
                <c:pt idx="2">
                  <c:v>166.5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A4-46A2-A9E4-DAB59E638F2D}"/>
            </c:ext>
          </c:extLst>
        </c:ser>
        <c:ser>
          <c:idx val="2"/>
          <c:order val="1"/>
          <c:tx>
            <c:strRef>
              <c:f>Sheet1!$E$32</c:f>
              <c:strCache>
                <c:ptCount val="1"/>
                <c:pt idx="0">
                  <c:v>Dan. (full)</c:v>
                </c:pt>
              </c:strCache>
            </c:strRef>
          </c:tx>
          <c:spPr>
            <a:noFill/>
            <a:ln>
              <a:solidFill>
                <a:schemeClr val="tx2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Sheet1!$B$37:$B$43</c15:sqref>
                  </c15:fullRef>
                </c:ext>
              </c:extLst>
              <c:f>(Sheet1!$B$37,Sheet1!$B$42:$B$43)</c:f>
              <c:strCache>
                <c:ptCount val="3"/>
                <c:pt idx="0">
                  <c:v>Ki67</c:v>
                </c:pt>
                <c:pt idx="1">
                  <c:v>HER2</c:v>
                </c:pt>
                <c:pt idx="2">
                  <c:v>ERa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Sheet1!$E$37:$E$43</c15:sqref>
                  </c15:fullRef>
                </c:ext>
              </c:extLst>
              <c:f>(Sheet1!$E$37,Sheet1!$E$42:$E$43)</c:f>
              <c:numCache>
                <c:formatCode>General</c:formatCode>
                <c:ptCount val="3"/>
                <c:pt idx="0">
                  <c:v>340.8</c:v>
                </c:pt>
                <c:pt idx="1">
                  <c:v>292.7</c:v>
                </c:pt>
                <c:pt idx="2">
                  <c:v>257.7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9A4-46A2-A9E4-DAB59E638F2D}"/>
            </c:ext>
          </c:extLst>
        </c:ser>
        <c:ser>
          <c:idx val="0"/>
          <c:order val="2"/>
          <c:tx>
            <c:strRef>
              <c:f>Sheet1!$F$32</c:f>
              <c:strCache>
                <c:ptCount val="1"/>
                <c:pt idx="0">
                  <c:v>Jack. (full)</c:v>
                </c:pt>
              </c:strCache>
            </c:strRef>
          </c:tx>
          <c:spPr>
            <a:noFill/>
            <a:ln>
              <a:solidFill>
                <a:srgbClr val="FF0000"/>
              </a:solidFill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Sheet1!$B$37:$B$43</c15:sqref>
                  </c15:fullRef>
                </c:ext>
              </c:extLst>
              <c:f>(Sheet1!$B$37,Sheet1!$B$42:$B$43)</c:f>
              <c:strCache>
                <c:ptCount val="3"/>
                <c:pt idx="0">
                  <c:v>Ki67</c:v>
                </c:pt>
                <c:pt idx="1">
                  <c:v>HER2</c:v>
                </c:pt>
                <c:pt idx="2">
                  <c:v>ERa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Sheet1!$F$37:$F$43</c15:sqref>
                  </c15:fullRef>
                </c:ext>
              </c:extLst>
              <c:f>(Sheet1!$F$37,Sheet1!$F$42:$F$43)</c:f>
              <c:numCache>
                <c:formatCode>General</c:formatCode>
                <c:ptCount val="3"/>
                <c:pt idx="0">
                  <c:v>295.01</c:v>
                </c:pt>
                <c:pt idx="1">
                  <c:v>240.74</c:v>
                </c:pt>
                <c:pt idx="2">
                  <c:v>251.1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9A4-46A2-A9E4-DAB59E638F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0038527"/>
        <c:axId val="450038943"/>
      </c:barChart>
      <c:catAx>
        <c:axId val="450038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0038943"/>
        <c:crosses val="autoZero"/>
        <c:auto val="1"/>
        <c:lblAlgn val="ctr"/>
        <c:lblOffset val="100"/>
        <c:noMultiLvlLbl val="0"/>
      </c:catAx>
      <c:valAx>
        <c:axId val="450038943"/>
        <c:scaling>
          <c:orientation val="minMax"/>
          <c:max val="5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0038527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4474927924518086"/>
          <c:y val="7.0107832200926201E-2"/>
          <c:w val="0.15217376217803286"/>
          <c:h val="0.36200006147468489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LID4096"/>
    </a:p>
  </c:txPr>
  <c:printSettings>
    <c:headerFooter/>
    <c:pageMargins b="0.75" l="0.7" r="0.7" t="0.75" header="0.3" footer="0.3"/>
    <c:pageSetup/>
  </c:printSettings>
  <c:userShapes r:id="rId3"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730656532331199"/>
          <c:y val="4.8198723648115505E-2"/>
          <c:w val="0.8092420285807217"/>
          <c:h val="0.78251656593195784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Sheet1!$K$77</c:f>
              <c:strCache>
                <c:ptCount val="1"/>
                <c:pt idx="0">
                  <c:v>ΔPCA + Frozen conv1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Sheet1!$B$78:$B$88</c:f>
              <c:strCache>
                <c:ptCount val="11"/>
                <c:pt idx="0">
                  <c:v>CD3</c:v>
                </c:pt>
                <c:pt idx="1">
                  <c:v>CD68</c:v>
                </c:pt>
                <c:pt idx="2">
                  <c:v>CD20</c:v>
                </c:pt>
                <c:pt idx="3">
                  <c:v>CD45</c:v>
                </c:pt>
                <c:pt idx="4">
                  <c:v>sma</c:v>
                </c:pt>
                <c:pt idx="5">
                  <c:v>Pan-CK</c:v>
                </c:pt>
                <c:pt idx="6">
                  <c:v>CK5</c:v>
                </c:pt>
                <c:pt idx="7">
                  <c:v>CK8-18</c:v>
                </c:pt>
                <c:pt idx="8">
                  <c:v>Ki67</c:v>
                </c:pt>
                <c:pt idx="9">
                  <c:v>HER2</c:v>
                </c:pt>
                <c:pt idx="10">
                  <c:v>ERa</c:v>
                </c:pt>
              </c:strCache>
            </c:strRef>
          </c:cat>
          <c:val>
            <c:numRef>
              <c:f>Sheet1!$K$78:$K$88</c:f>
              <c:numCache>
                <c:formatCode>0.00</c:formatCode>
                <c:ptCount val="11"/>
                <c:pt idx="0">
                  <c:v>-1.5300000000000008E-2</c:v>
                </c:pt>
                <c:pt idx="1">
                  <c:v>-6.4399999999999999E-2</c:v>
                </c:pt>
                <c:pt idx="2">
                  <c:v>3.2200000000000006E-2</c:v>
                </c:pt>
                <c:pt idx="3">
                  <c:v>-2.0999999999999908E-3</c:v>
                </c:pt>
                <c:pt idx="4">
                  <c:v>3.6000000000000004E-2</c:v>
                </c:pt>
                <c:pt idx="5">
                  <c:v>0.45199999999999996</c:v>
                </c:pt>
                <c:pt idx="6">
                  <c:v>-2.0000000000000018E-3</c:v>
                </c:pt>
                <c:pt idx="7">
                  <c:v>-8.5999999999999965E-3</c:v>
                </c:pt>
                <c:pt idx="8">
                  <c:v>3.8699999999999998E-2</c:v>
                </c:pt>
                <c:pt idx="9">
                  <c:v>3.9300000000000002E-2</c:v>
                </c:pt>
                <c:pt idx="10">
                  <c:v>-3.1299999999999994E-2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2C-4226-960C-02037EE88B84}"/>
            </c:ext>
          </c:extLst>
        </c:ser>
        <c:ser>
          <c:idx val="0"/>
          <c:order val="1"/>
          <c:tx>
            <c:strRef>
              <c:f>Sheet1!$J$77</c:f>
              <c:strCache>
                <c:ptCount val="1"/>
                <c:pt idx="0">
                  <c:v>ΔPCA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Sheet1!$B$78:$B$88</c:f>
              <c:strCache>
                <c:ptCount val="11"/>
                <c:pt idx="0">
                  <c:v>CD3</c:v>
                </c:pt>
                <c:pt idx="1">
                  <c:v>CD68</c:v>
                </c:pt>
                <c:pt idx="2">
                  <c:v>CD20</c:v>
                </c:pt>
                <c:pt idx="3">
                  <c:v>CD45</c:v>
                </c:pt>
                <c:pt idx="4">
                  <c:v>sma</c:v>
                </c:pt>
                <c:pt idx="5">
                  <c:v>Pan-CK</c:v>
                </c:pt>
                <c:pt idx="6">
                  <c:v>CK5</c:v>
                </c:pt>
                <c:pt idx="7">
                  <c:v>CK8-18</c:v>
                </c:pt>
                <c:pt idx="8">
                  <c:v>Ki67</c:v>
                </c:pt>
                <c:pt idx="9">
                  <c:v>HER2</c:v>
                </c:pt>
                <c:pt idx="10">
                  <c:v>ERa</c:v>
                </c:pt>
              </c:strCache>
            </c:strRef>
          </c:cat>
          <c:val>
            <c:numRef>
              <c:f>Sheet1!$J$78:$J$88</c:f>
              <c:numCache>
                <c:formatCode>0.00</c:formatCode>
                <c:ptCount val="11"/>
                <c:pt idx="0">
                  <c:v>-2.8999999999999859E-3</c:v>
                </c:pt>
                <c:pt idx="1">
                  <c:v>-6.4000000000000001E-2</c:v>
                </c:pt>
                <c:pt idx="2">
                  <c:v>2.9599999999999987E-2</c:v>
                </c:pt>
                <c:pt idx="3">
                  <c:v>-1.5600000000000003E-2</c:v>
                </c:pt>
                <c:pt idx="4">
                  <c:v>0.10400000000000001</c:v>
                </c:pt>
                <c:pt idx="5">
                  <c:v>0.43899999999999995</c:v>
                </c:pt>
                <c:pt idx="6">
                  <c:v>2.7999999999999969E-3</c:v>
                </c:pt>
                <c:pt idx="7">
                  <c:v>-2.579999999999999E-2</c:v>
                </c:pt>
                <c:pt idx="8">
                  <c:v>6.3999999999999987E-2</c:v>
                </c:pt>
                <c:pt idx="9">
                  <c:v>3.5000000000000031E-2</c:v>
                </c:pt>
                <c:pt idx="10">
                  <c:v>-8.499999999999952E-3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07-40DE-8B80-8949FE971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0038527"/>
        <c:axId val="450038943"/>
      </c:barChart>
      <c:catAx>
        <c:axId val="45003852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0038943"/>
        <c:crossesAt val="0"/>
        <c:auto val="1"/>
        <c:lblAlgn val="ctr"/>
        <c:lblOffset val="100"/>
        <c:noMultiLvlLbl val="0"/>
      </c:catAx>
      <c:valAx>
        <c:axId val="450038943"/>
        <c:scaling>
          <c:orientation val="minMax"/>
          <c:max val="0.5"/>
          <c:min val="-0.5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</a:t>
                </a:r>
                <a:r>
                  <a:rPr lang="en-US"/>
                  <a:t> corr.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0038527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8245354016499954E-2"/>
          <c:y val="0.60895336144740653"/>
          <c:w val="0.41186801170226772"/>
          <c:h val="0.205246056375409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86383175358807"/>
          <c:y val="4.8198723648115505E-2"/>
          <c:w val="0.82068487737219653"/>
          <c:h val="0.78251656593195784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Sheet1!$K$77</c:f>
              <c:strCache>
                <c:ptCount val="1"/>
                <c:pt idx="0">
                  <c:v>ΔPCA + Frozen conv1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Sheet1!$B$94:$B$104</c:f>
              <c:strCache>
                <c:ptCount val="11"/>
                <c:pt idx="0">
                  <c:v>CD3</c:v>
                </c:pt>
                <c:pt idx="1">
                  <c:v>CD68</c:v>
                </c:pt>
                <c:pt idx="2">
                  <c:v>CD20</c:v>
                </c:pt>
                <c:pt idx="3">
                  <c:v>CD45</c:v>
                </c:pt>
                <c:pt idx="4">
                  <c:v>sma</c:v>
                </c:pt>
                <c:pt idx="5">
                  <c:v>Pan-CK</c:v>
                </c:pt>
                <c:pt idx="6">
                  <c:v>CK5</c:v>
                </c:pt>
                <c:pt idx="7">
                  <c:v>CK8-18</c:v>
                </c:pt>
                <c:pt idx="8">
                  <c:v>Ki67</c:v>
                </c:pt>
                <c:pt idx="9">
                  <c:v>HER2</c:v>
                </c:pt>
                <c:pt idx="10">
                  <c:v>ERa</c:v>
                </c:pt>
              </c:strCache>
            </c:strRef>
          </c:cat>
          <c:val>
            <c:numRef>
              <c:f>Sheet1!$K$94:$K$104</c:f>
              <c:numCache>
                <c:formatCode>0.00</c:formatCode>
                <c:ptCount val="11"/>
                <c:pt idx="0">
                  <c:v>15.100000000000023</c:v>
                </c:pt>
                <c:pt idx="1">
                  <c:v>88.70999999999998</c:v>
                </c:pt>
                <c:pt idx="2">
                  <c:v>36.879999999999995</c:v>
                </c:pt>
                <c:pt idx="3">
                  <c:v>20.430000000000007</c:v>
                </c:pt>
                <c:pt idx="4">
                  <c:v>12.939999999999998</c:v>
                </c:pt>
                <c:pt idx="5">
                  <c:v>-40.140000000000015</c:v>
                </c:pt>
                <c:pt idx="6">
                  <c:v>-32.649999999999977</c:v>
                </c:pt>
                <c:pt idx="7">
                  <c:v>-3.8100000000000023</c:v>
                </c:pt>
                <c:pt idx="8">
                  <c:v>12.680000000000007</c:v>
                </c:pt>
                <c:pt idx="9">
                  <c:v>-35.679999999999978</c:v>
                </c:pt>
                <c:pt idx="10">
                  <c:v>-7.6800000000000068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97C-4E20-BD4D-2A4200B43EC5}"/>
            </c:ext>
          </c:extLst>
        </c:ser>
        <c:ser>
          <c:idx val="0"/>
          <c:order val="1"/>
          <c:tx>
            <c:strRef>
              <c:f>Sheet1!$J$77</c:f>
              <c:strCache>
                <c:ptCount val="1"/>
                <c:pt idx="0">
                  <c:v>ΔPCA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Sheet1!$B$94:$B$104</c:f>
              <c:strCache>
                <c:ptCount val="11"/>
                <c:pt idx="0">
                  <c:v>CD3</c:v>
                </c:pt>
                <c:pt idx="1">
                  <c:v>CD68</c:v>
                </c:pt>
                <c:pt idx="2">
                  <c:v>CD20</c:v>
                </c:pt>
                <c:pt idx="3">
                  <c:v>CD45</c:v>
                </c:pt>
                <c:pt idx="4">
                  <c:v>sma</c:v>
                </c:pt>
                <c:pt idx="5">
                  <c:v>Pan-CK</c:v>
                </c:pt>
                <c:pt idx="6">
                  <c:v>CK5</c:v>
                </c:pt>
                <c:pt idx="7">
                  <c:v>CK8-18</c:v>
                </c:pt>
                <c:pt idx="8">
                  <c:v>Ki67</c:v>
                </c:pt>
                <c:pt idx="9">
                  <c:v>HER2</c:v>
                </c:pt>
                <c:pt idx="10">
                  <c:v>ERa</c:v>
                </c:pt>
              </c:strCache>
            </c:strRef>
          </c:cat>
          <c:val>
            <c:numRef>
              <c:f>Sheet1!$J$94:$J$104</c:f>
              <c:numCache>
                <c:formatCode>0.0</c:formatCode>
                <c:ptCount val="11"/>
                <c:pt idx="0">
                  <c:v>25.5</c:v>
                </c:pt>
                <c:pt idx="1">
                  <c:v>78.009999999999991</c:v>
                </c:pt>
                <c:pt idx="2">
                  <c:v>80.079999999999984</c:v>
                </c:pt>
                <c:pt idx="3">
                  <c:v>38.580000000000013</c:v>
                </c:pt>
                <c:pt idx="4">
                  <c:v>-8.2199999999999989</c:v>
                </c:pt>
                <c:pt idx="5">
                  <c:v>-65.81</c:v>
                </c:pt>
                <c:pt idx="6">
                  <c:v>-41.259999999999991</c:v>
                </c:pt>
                <c:pt idx="7">
                  <c:v>-37.349999999999994</c:v>
                </c:pt>
                <c:pt idx="8">
                  <c:v>1.4599999999999795</c:v>
                </c:pt>
                <c:pt idx="9">
                  <c:v>-44.22999999999999</c:v>
                </c:pt>
                <c:pt idx="10">
                  <c:v>-42.75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54-4BC8-94B5-D90B583F8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0038527"/>
        <c:axId val="450038943"/>
      </c:barChart>
      <c:catAx>
        <c:axId val="450038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0038943"/>
        <c:crosses val="autoZero"/>
        <c:auto val="1"/>
        <c:lblAlgn val="ctr"/>
        <c:lblOffset val="100"/>
        <c:noMultiLvlLbl val="0"/>
      </c:catAx>
      <c:valAx>
        <c:axId val="450038943"/>
        <c:scaling>
          <c:orientation val="minMax"/>
          <c:max val="1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</a:t>
                </a:r>
                <a:r>
                  <a:rPr lang="en-US"/>
                  <a:t> FID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0038527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600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586383175358807"/>
          <c:y val="4.8198723648115505E-2"/>
          <c:w val="0.82068487737219653"/>
          <c:h val="0.78251656593195784"/>
        </c:manualLayout>
      </c:layout>
      <c:barChart>
        <c:barDir val="bar"/>
        <c:grouping val="clustered"/>
        <c:varyColors val="0"/>
        <c:ser>
          <c:idx val="1"/>
          <c:order val="0"/>
          <c:tx>
            <c:strRef>
              <c:f>Sheet1!$C$32</c:f>
              <c:strCache>
                <c:ptCount val="1"/>
                <c:pt idx="0">
                  <c:v>D - % area</c:v>
                </c:pt>
              </c:strCache>
              <c:extLst xmlns:c15="http://schemas.microsoft.com/office/drawing/2012/chart"/>
            </c:strRef>
          </c:tx>
          <c:spPr>
            <a:noFill/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Sheet1!$A$94:$B$104</c:f>
              <c:multiLvlStrCache>
                <c:ptCount val="11"/>
                <c:lvl>
                  <c:pt idx="0">
                    <c:v>CD3</c:v>
                  </c:pt>
                  <c:pt idx="1">
                    <c:v>CD68</c:v>
                  </c:pt>
                  <c:pt idx="2">
                    <c:v>CD20</c:v>
                  </c:pt>
                  <c:pt idx="3">
                    <c:v>CD45</c:v>
                  </c:pt>
                  <c:pt idx="4">
                    <c:v>sma</c:v>
                  </c:pt>
                  <c:pt idx="5">
                    <c:v>Pan-CK</c:v>
                  </c:pt>
                  <c:pt idx="6">
                    <c:v>CK5</c:v>
                  </c:pt>
                  <c:pt idx="7">
                    <c:v>CK8-18</c:v>
                  </c:pt>
                  <c:pt idx="8">
                    <c:v>Ki67</c:v>
                  </c:pt>
                  <c:pt idx="9">
                    <c:v>HER2</c:v>
                  </c:pt>
                  <c:pt idx="10">
                    <c:v>ERa</c:v>
                  </c:pt>
                </c:lvl>
                <c:lvl>
                  <c:pt idx="0">
                    <c:v>Immune</c:v>
                  </c:pt>
                  <c:pt idx="4">
                    <c:v>Identity</c:v>
                  </c:pt>
                  <c:pt idx="8">
                    <c:v>Clinical</c:v>
                  </c:pt>
                </c:lvl>
              </c:multiLvlStrCache>
              <c:extLst xmlns:c15="http://schemas.microsoft.com/office/drawing/2012/chart"/>
            </c:multiLvlStrRef>
          </c:cat>
          <c:val>
            <c:numRef>
              <c:f>Sheet1!$C$94:$C$104</c:f>
              <c:numCache>
                <c:formatCode>0</c:formatCode>
                <c:ptCount val="11"/>
                <c:pt idx="0">
                  <c:v>9.5516059779999996</c:v>
                </c:pt>
                <c:pt idx="1">
                  <c:v>34.598979030000002</c:v>
                </c:pt>
                <c:pt idx="2">
                  <c:v>3.2566599309999997</c:v>
                </c:pt>
                <c:pt idx="3">
                  <c:v>7.76826843</c:v>
                </c:pt>
                <c:pt idx="4">
                  <c:v>66.19802722</c:v>
                </c:pt>
                <c:pt idx="5">
                  <c:v>13.486557269999999</c:v>
                </c:pt>
                <c:pt idx="6">
                  <c:v>14.58223203</c:v>
                </c:pt>
                <c:pt idx="7">
                  <c:v>61.985700940000001</c:v>
                </c:pt>
                <c:pt idx="8">
                  <c:v>38.822217160000001</c:v>
                </c:pt>
                <c:pt idx="9">
                  <c:v>40.82876701</c:v>
                </c:pt>
                <c:pt idx="10">
                  <c:v>7.1747951170000004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67C0-47D0-AF1D-8E4607628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0038527"/>
        <c:axId val="450038943"/>
        <c:extLst>
          <c:ext xmlns:c15="http://schemas.microsoft.com/office/drawing/2012/chart" uri="{02D57815-91ED-43cb-92C2-25804820EDAC}">
            <c15:filteredBa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Sheet1!$E$77</c15:sqref>
                        </c15:formulaRef>
                      </c:ext>
                    </c:extLst>
                    <c:strCache>
                      <c:ptCount val="1"/>
                      <c:pt idx="0">
                        <c:v>Res-UNet</c:v>
                      </c:pt>
                    </c:strCache>
                  </c:strRef>
                </c:tx>
                <c:spPr>
                  <a:solidFill>
                    <a:schemeClr val="bg1">
                      <a:lumMod val="6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Sheet1!$E$94:$E$104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320.5</c:v>
                      </c:pt>
                      <c:pt idx="1">
                        <c:v>282.99</c:v>
                      </c:pt>
                      <c:pt idx="2">
                        <c:v>270.92</c:v>
                      </c:pt>
                      <c:pt idx="3">
                        <c:v>167.42</c:v>
                      </c:pt>
                      <c:pt idx="4">
                        <c:v>195.12</c:v>
                      </c:pt>
                      <c:pt idx="5">
                        <c:v>263.81</c:v>
                      </c:pt>
                      <c:pt idx="6">
                        <c:v>378.26</c:v>
                      </c:pt>
                      <c:pt idx="7">
                        <c:v>226.95</c:v>
                      </c:pt>
                      <c:pt idx="8">
                        <c:v>261.54000000000002</c:v>
                      </c:pt>
                      <c:pt idx="9">
                        <c:v>205.73</c:v>
                      </c:pt>
                      <c:pt idx="10">
                        <c:v>209.25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7C0-47D0-AF1D-8E460762805A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Sheet1!$D$77</c15:sqref>
                        </c15:formulaRef>
                      </c:ext>
                    </c:extLst>
                    <c:strCache>
                      <c:ptCount val="1"/>
                      <c:pt idx="0">
                        <c:v>ResUNet (PCA)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multiLvl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Sheet1!$A$94:$B$104</c15:sqref>
                        </c15:formulaRef>
                      </c:ext>
                    </c:extLst>
                    <c:multiLvlStrCache>
                      <c:ptCount val="11"/>
                      <c:lvl>
                        <c:pt idx="0">
                          <c:v>CD3</c:v>
                        </c:pt>
                        <c:pt idx="1">
                          <c:v>CD68</c:v>
                        </c:pt>
                        <c:pt idx="2">
                          <c:v>CD20</c:v>
                        </c:pt>
                        <c:pt idx="3">
                          <c:v>CD45</c:v>
                        </c:pt>
                        <c:pt idx="4">
                          <c:v>sma</c:v>
                        </c:pt>
                        <c:pt idx="5">
                          <c:v>Pan-CK</c:v>
                        </c:pt>
                        <c:pt idx="6">
                          <c:v>CK5</c:v>
                        </c:pt>
                        <c:pt idx="7">
                          <c:v>CK8-18</c:v>
                        </c:pt>
                        <c:pt idx="8">
                          <c:v>Ki67</c:v>
                        </c:pt>
                        <c:pt idx="9">
                          <c:v>HER2</c:v>
                        </c:pt>
                        <c:pt idx="10">
                          <c:v>ERa</c:v>
                        </c:pt>
                      </c:lvl>
                      <c:lvl>
                        <c:pt idx="0">
                          <c:v>Immune</c:v>
                        </c:pt>
                        <c:pt idx="4">
                          <c:v>Identity</c:v>
                        </c:pt>
                        <c:pt idx="8">
                          <c:v>Clinical</c:v>
                        </c:pt>
                      </c:lvl>
                    </c:multiLvlStrCache>
                  </c:multiLvl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Sheet1!$D$94:$D$104</c15:sqref>
                        </c15:formulaRef>
                      </c:ext>
                    </c:extLst>
                    <c:numCache>
                      <c:formatCode>0.0</c:formatCode>
                      <c:ptCount val="11"/>
                      <c:pt idx="0">
                        <c:v>346</c:v>
                      </c:pt>
                      <c:pt idx="1">
                        <c:v>361</c:v>
                      </c:pt>
                      <c:pt idx="2">
                        <c:v>351</c:v>
                      </c:pt>
                      <c:pt idx="3">
                        <c:v>206</c:v>
                      </c:pt>
                      <c:pt idx="4">
                        <c:v>186.9</c:v>
                      </c:pt>
                      <c:pt idx="5">
                        <c:v>198</c:v>
                      </c:pt>
                      <c:pt idx="6">
                        <c:v>337</c:v>
                      </c:pt>
                      <c:pt idx="7">
                        <c:v>189.6</c:v>
                      </c:pt>
                      <c:pt idx="8">
                        <c:v>263</c:v>
                      </c:pt>
                      <c:pt idx="9">
                        <c:v>161.5</c:v>
                      </c:pt>
                      <c:pt idx="10">
                        <c:v>166.5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7C0-47D0-AF1D-8E460762805A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Sheet1!$F$77</c15:sqref>
                        </c15:formulaRef>
                      </c:ext>
                    </c:extLst>
                    <c:strCache>
                      <c:ptCount val="1"/>
                      <c:pt idx="0">
                        <c:v>Res-UNet (PCA-&gt; conv1)</c:v>
                      </c:pt>
                    </c:strCache>
                  </c:strRef>
                </c:tx>
                <c:spPr>
                  <a:solidFill>
                    <a:srgbClr val="92D050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Sheet1!$F$94:$F$104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335.6</c:v>
                      </c:pt>
                      <c:pt idx="1">
                        <c:v>371.7</c:v>
                      </c:pt>
                      <c:pt idx="2">
                        <c:v>307.8</c:v>
                      </c:pt>
                      <c:pt idx="3">
                        <c:v>187.85</c:v>
                      </c:pt>
                      <c:pt idx="4" formatCode="0.00">
                        <c:v>208.06</c:v>
                      </c:pt>
                      <c:pt idx="5">
                        <c:v>223.67</c:v>
                      </c:pt>
                      <c:pt idx="6">
                        <c:v>345.61</c:v>
                      </c:pt>
                      <c:pt idx="7">
                        <c:v>223.14</c:v>
                      </c:pt>
                      <c:pt idx="8">
                        <c:v>274.22000000000003</c:v>
                      </c:pt>
                      <c:pt idx="9">
                        <c:v>170.05</c:v>
                      </c:pt>
                      <c:pt idx="10">
                        <c:v>201.57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7C0-47D0-AF1D-8E460762805A}"/>
                  </c:ext>
                </c:extLst>
              </c15:ser>
            </c15:filteredBarSeries>
          </c:ext>
        </c:extLst>
      </c:barChart>
      <c:catAx>
        <c:axId val="450038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0038943"/>
        <c:crosses val="autoZero"/>
        <c:auto val="1"/>
        <c:lblAlgn val="ctr"/>
        <c:lblOffset val="100"/>
        <c:noMultiLvlLbl val="0"/>
      </c:catAx>
      <c:valAx>
        <c:axId val="450038943"/>
        <c:scaling>
          <c:orientation val="minMax"/>
          <c:max val="1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/>
                  <a:t>% raw area covered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solidFill>
              <a:sysClr val="windowText" lastClr="000000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450038527"/>
        <c:crosses val="autoZero"/>
        <c:crossBetween val="between"/>
        <c:majorUnit val="25"/>
        <c:minorUnit val="2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400"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48963</xdr:colOff>
      <xdr:row>19</xdr:row>
      <xdr:rowOff>66299</xdr:rowOff>
    </xdr:from>
    <xdr:to>
      <xdr:col>16</xdr:col>
      <xdr:colOff>5137</xdr:colOff>
      <xdr:row>34</xdr:row>
      <xdr:rowOff>19237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F1C60B1-C0E5-40DA-8A18-49BF37C070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27371</xdr:colOff>
      <xdr:row>4</xdr:row>
      <xdr:rowOff>65689</xdr:rowOff>
    </xdr:from>
    <xdr:to>
      <xdr:col>15</xdr:col>
      <xdr:colOff>591174</xdr:colOff>
      <xdr:row>19</xdr:row>
      <xdr:rowOff>18628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613F45-4645-4CC4-9053-C6BE2590F6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272030</xdr:colOff>
      <xdr:row>0</xdr:row>
      <xdr:rowOff>45356</xdr:rowOff>
    </xdr:from>
    <xdr:to>
      <xdr:col>33</xdr:col>
      <xdr:colOff>349249</xdr:colOff>
      <xdr:row>25</xdr:row>
      <xdr:rowOff>31749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EA3D7A-0EC6-4400-BC4B-F38051B4F0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118783</xdr:colOff>
      <xdr:row>52</xdr:row>
      <xdr:rowOff>118393</xdr:rowOff>
    </xdr:from>
    <xdr:to>
      <xdr:col>34</xdr:col>
      <xdr:colOff>403599</xdr:colOff>
      <xdr:row>73</xdr:row>
      <xdr:rowOff>120837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5571D5B-01A5-481C-853A-E2333DEDE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34</xdr:col>
      <xdr:colOff>453515</xdr:colOff>
      <xdr:row>52</xdr:row>
      <xdr:rowOff>117245</xdr:rowOff>
    </xdr:from>
    <xdr:to>
      <xdr:col>46</xdr:col>
      <xdr:colOff>500742</xdr:colOff>
      <xdr:row>73</xdr:row>
      <xdr:rowOff>38904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70373EA-76CE-4C13-98C1-F77BA2D8BD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582085</xdr:colOff>
      <xdr:row>130</xdr:row>
      <xdr:rowOff>76759</xdr:rowOff>
    </xdr:from>
    <xdr:to>
      <xdr:col>17</xdr:col>
      <xdr:colOff>286747</xdr:colOff>
      <xdr:row>149</xdr:row>
      <xdr:rowOff>58942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4E0103C-35C9-494D-BDA3-B94A3179A4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18900</xdr:colOff>
      <xdr:row>130</xdr:row>
      <xdr:rowOff>30298</xdr:rowOff>
    </xdr:from>
    <xdr:to>
      <xdr:col>27</xdr:col>
      <xdr:colOff>112297</xdr:colOff>
      <xdr:row>149</xdr:row>
      <xdr:rowOff>25378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458E7BF-7A9D-424E-AC62-6A25BFF7E9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22412</xdr:colOff>
      <xdr:row>0</xdr:row>
      <xdr:rowOff>53663</xdr:rowOff>
    </xdr:from>
    <xdr:to>
      <xdr:col>22</xdr:col>
      <xdr:colOff>592502</xdr:colOff>
      <xdr:row>24</xdr:row>
      <xdr:rowOff>108091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E48C374F-4F5C-4A82-B661-C23F945C74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0</xdr:colOff>
      <xdr:row>26</xdr:row>
      <xdr:rowOff>0</xdr:rowOff>
    </xdr:from>
    <xdr:to>
      <xdr:col>22</xdr:col>
      <xdr:colOff>570090</xdr:colOff>
      <xdr:row>50</xdr:row>
      <xdr:rowOff>54428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DB298B6-DB90-4E04-8355-BD6DE4F1DC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23</xdr:col>
      <xdr:colOff>0</xdr:colOff>
      <xdr:row>26</xdr:row>
      <xdr:rowOff>0</xdr:rowOff>
    </xdr:from>
    <xdr:to>
      <xdr:col>33</xdr:col>
      <xdr:colOff>77219</xdr:colOff>
      <xdr:row>50</xdr:row>
      <xdr:rowOff>176893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FA3E5FB0-55E2-4115-BDA1-B6DF3CAE6D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153279</xdr:colOff>
      <xdr:row>75</xdr:row>
      <xdr:rowOff>46837</xdr:rowOff>
    </xdr:from>
    <xdr:to>
      <xdr:col>22</xdr:col>
      <xdr:colOff>523002</xdr:colOff>
      <xdr:row>101</xdr:row>
      <xdr:rowOff>54428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460B707C-A51C-4219-B071-82FA1A9911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121576</xdr:colOff>
      <xdr:row>102</xdr:row>
      <xdr:rowOff>53653</xdr:rowOff>
    </xdr:from>
    <xdr:to>
      <xdr:col>23</xdr:col>
      <xdr:colOff>11545</xdr:colOff>
      <xdr:row>128</xdr:row>
      <xdr:rowOff>23091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EC699C-C12A-45E8-9634-1BA8E2E98B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138398</xdr:colOff>
      <xdr:row>151</xdr:row>
      <xdr:rowOff>103065</xdr:rowOff>
    </xdr:from>
    <xdr:to>
      <xdr:col>20</xdr:col>
      <xdr:colOff>540951</xdr:colOff>
      <xdr:row>170</xdr:row>
      <xdr:rowOff>104495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B8D8C950-595A-47C4-A456-4505A3F333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120478</xdr:colOff>
      <xdr:row>74</xdr:row>
      <xdr:rowOff>152401</xdr:rowOff>
    </xdr:from>
    <xdr:to>
      <xdr:col>34</xdr:col>
      <xdr:colOff>214630</xdr:colOff>
      <xdr:row>97</xdr:row>
      <xdr:rowOff>117874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183D8C3-549F-4BF5-B26C-10C8BBF495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25</xdr:col>
      <xdr:colOff>192129</xdr:colOff>
      <xdr:row>98</xdr:row>
      <xdr:rowOff>84831</xdr:rowOff>
    </xdr:from>
    <xdr:to>
      <xdr:col>34</xdr:col>
      <xdr:colOff>293006</xdr:colOff>
      <xdr:row>121</xdr:row>
      <xdr:rowOff>83539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2B662B2-B02A-4E40-B9A2-BE18F3F6C5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344714</xdr:colOff>
      <xdr:row>52</xdr:row>
      <xdr:rowOff>16329</xdr:rowOff>
    </xdr:from>
    <xdr:to>
      <xdr:col>21</xdr:col>
      <xdr:colOff>445591</xdr:colOff>
      <xdr:row>75</xdr:row>
      <xdr:rowOff>8687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C654962-07E1-485F-82F7-0EDB58F1ED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0.94215</cdr:x>
      <cdr:y>0.05543</cdr:y>
    </cdr:from>
    <cdr:to>
      <cdr:x>0.94215</cdr:x>
      <cdr:y>0.82379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83FC0CE6-0C90-47ED-AEAE-F2C492B498E0}"/>
            </a:ext>
          </a:extLst>
        </cdr:cNvPr>
        <cdr:cNvCxnSpPr/>
      </cdr:nvCxnSpPr>
      <cdr:spPr>
        <a:xfrm xmlns:a="http://schemas.openxmlformats.org/drawingml/2006/main" flipV="1">
          <a:off x="5260698" y="234190"/>
          <a:ext cx="0" cy="3246403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0.92996</cdr:x>
      <cdr:y>0.07576</cdr:y>
    </cdr:from>
    <cdr:to>
      <cdr:x>0.9303</cdr:x>
      <cdr:y>0.82382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BA08E95C-D24C-43E5-B49E-00124E90E957}"/>
            </a:ext>
          </a:extLst>
        </cdr:cNvPr>
        <cdr:cNvCxnSpPr/>
      </cdr:nvCxnSpPr>
      <cdr:spPr>
        <a:xfrm xmlns:a="http://schemas.openxmlformats.org/drawingml/2006/main" flipH="1" flipV="1">
          <a:off x="7007412" y="268942"/>
          <a:ext cx="2555" cy="2655585"/>
        </a:xfrm>
        <a:prstGeom xmlns:a="http://schemas.openxmlformats.org/drawingml/2006/main" prst="line">
          <a:avLst/>
        </a:prstGeom>
        <a:ln xmlns:a="http://schemas.openxmlformats.org/drawingml/2006/main" w="12700">
          <a:solidFill>
            <a:schemeClr val="tx1"/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3BE29-5887-47D2-B6DB-21DD0F45101E}">
  <dimension ref="A1:R32"/>
  <sheetViews>
    <sheetView tabSelected="1" topLeftCell="B2" zoomScale="72" workbookViewId="0">
      <selection activeCell="E18" sqref="E18"/>
    </sheetView>
  </sheetViews>
  <sheetFormatPr defaultRowHeight="14.5" x14ac:dyDescent="0.35"/>
  <cols>
    <col min="1" max="1" width="13.453125" bestFit="1" customWidth="1"/>
    <col min="2" max="2" width="15.36328125" bestFit="1" customWidth="1"/>
    <col min="3" max="3" width="23.54296875" bestFit="1" customWidth="1"/>
    <col min="4" max="4" width="13.36328125" bestFit="1" customWidth="1"/>
    <col min="5" max="5" width="22.54296875" bestFit="1" customWidth="1"/>
  </cols>
  <sheetData>
    <row r="1" spans="1:11" x14ac:dyDescent="0.35">
      <c r="B1" t="s">
        <v>4</v>
      </c>
      <c r="C1" t="s">
        <v>56</v>
      </c>
      <c r="I1" t="s">
        <v>43</v>
      </c>
      <c r="J1" t="s">
        <v>43</v>
      </c>
      <c r="K1" t="s">
        <v>34</v>
      </c>
    </row>
    <row r="2" spans="1:11" x14ac:dyDescent="0.35">
      <c r="B2" t="s">
        <v>1</v>
      </c>
      <c r="C2" t="s">
        <v>66</v>
      </c>
      <c r="D2" t="s">
        <v>64</v>
      </c>
      <c r="E2" t="s">
        <v>65</v>
      </c>
      <c r="H2" t="s">
        <v>54</v>
      </c>
      <c r="I2" s="13" t="s">
        <v>51</v>
      </c>
      <c r="J2" s="11" t="s">
        <v>52</v>
      </c>
      <c r="K2" s="11" t="s">
        <v>53</v>
      </c>
    </row>
    <row r="3" spans="1:11" x14ac:dyDescent="0.35">
      <c r="A3" t="s">
        <v>29</v>
      </c>
      <c r="B3" t="s">
        <v>11</v>
      </c>
      <c r="C3">
        <v>166.5</v>
      </c>
      <c r="D3">
        <v>209.2</v>
      </c>
      <c r="E3">
        <v>324.5</v>
      </c>
    </row>
    <row r="4" spans="1:11" x14ac:dyDescent="0.35">
      <c r="B4" t="s">
        <v>10</v>
      </c>
      <c r="C4">
        <v>161.5</v>
      </c>
      <c r="D4">
        <v>205.7</v>
      </c>
      <c r="E4">
        <v>225.7</v>
      </c>
      <c r="H4" t="s">
        <v>71</v>
      </c>
    </row>
    <row r="5" spans="1:11" x14ac:dyDescent="0.35">
      <c r="B5" t="s">
        <v>44</v>
      </c>
      <c r="C5">
        <v>263.2</v>
      </c>
      <c r="D5">
        <v>261.5</v>
      </c>
      <c r="E5">
        <v>177.4</v>
      </c>
    </row>
    <row r="6" spans="1:11" x14ac:dyDescent="0.35">
      <c r="A6" t="s">
        <v>60</v>
      </c>
      <c r="B6" t="s">
        <v>63</v>
      </c>
      <c r="C6">
        <v>198.5</v>
      </c>
      <c r="D6">
        <v>263.8</v>
      </c>
      <c r="E6">
        <v>287.89999999999998</v>
      </c>
    </row>
    <row r="7" spans="1:11" x14ac:dyDescent="0.35">
      <c r="B7" t="s">
        <v>61</v>
      </c>
      <c r="C7">
        <v>337.9</v>
      </c>
      <c r="D7">
        <v>378.3</v>
      </c>
      <c r="E7">
        <v>240.9</v>
      </c>
    </row>
    <row r="8" spans="1:11" x14ac:dyDescent="0.35">
      <c r="B8" t="s">
        <v>62</v>
      </c>
      <c r="C8">
        <v>189.6</v>
      </c>
      <c r="D8">
        <v>227</v>
      </c>
      <c r="E8">
        <v>201</v>
      </c>
    </row>
    <row r="9" spans="1:11" x14ac:dyDescent="0.35">
      <c r="A9" t="s">
        <v>68</v>
      </c>
      <c r="B9" t="s">
        <v>21</v>
      </c>
      <c r="C9">
        <v>186.9</v>
      </c>
      <c r="D9">
        <v>195.1</v>
      </c>
      <c r="E9">
        <v>234.8</v>
      </c>
    </row>
    <row r="10" spans="1:11" x14ac:dyDescent="0.35">
      <c r="A10" t="s">
        <v>28</v>
      </c>
      <c r="B10" t="s">
        <v>47</v>
      </c>
      <c r="C10">
        <v>206.2</v>
      </c>
      <c r="D10">
        <v>167.4</v>
      </c>
      <c r="E10">
        <v>248.8</v>
      </c>
    </row>
    <row r="11" spans="1:11" x14ac:dyDescent="0.35">
      <c r="B11" t="s">
        <v>45</v>
      </c>
      <c r="C11">
        <v>351.2</v>
      </c>
      <c r="D11">
        <v>270.89999999999998</v>
      </c>
      <c r="E11">
        <v>204.3</v>
      </c>
    </row>
    <row r="12" spans="1:11" x14ac:dyDescent="0.35">
      <c r="B12" t="s">
        <v>46</v>
      </c>
      <c r="C12">
        <v>346.3</v>
      </c>
      <c r="D12">
        <v>320.5</v>
      </c>
      <c r="E12">
        <v>203.7</v>
      </c>
    </row>
    <row r="13" spans="1:11" x14ac:dyDescent="0.35">
      <c r="B13" t="s">
        <v>48</v>
      </c>
      <c r="C13">
        <v>361.3</v>
      </c>
      <c r="D13">
        <v>282.89999999999998</v>
      </c>
      <c r="E13">
        <v>225.7</v>
      </c>
    </row>
    <row r="14" spans="1:11" x14ac:dyDescent="0.35">
      <c r="A14" t="s">
        <v>49</v>
      </c>
      <c r="B14" s="8" t="s">
        <v>67</v>
      </c>
      <c r="C14" s="9">
        <f>AVERAGE(C1:C13)</f>
        <v>251.73636363636368</v>
      </c>
      <c r="D14" s="9">
        <f>AVERAGE(D1:D13)</f>
        <v>252.93636363636367</v>
      </c>
      <c r="E14" s="9">
        <f>AVERAGE(E1:E13)</f>
        <v>234.06363636363633</v>
      </c>
    </row>
    <row r="15" spans="1:11" x14ac:dyDescent="0.35">
      <c r="B15" s="12" t="s">
        <v>55</v>
      </c>
      <c r="C15" s="2">
        <f>_xlfn.STDEV.S(C3:C13)/SQRT(COUNT(C3:C13))</f>
        <v>24.638341416755154</v>
      </c>
      <c r="D15" s="2">
        <f>_xlfn.STDEV.S(D3:D13)/SQRT(COUNT(D3:D13))</f>
        <v>18.382577090709233</v>
      </c>
      <c r="E15" s="2">
        <f>_xlfn.STDEV.S(E3:E13)/SQRT(COUNT(E3:E13))</f>
        <v>12.646675975256962</v>
      </c>
    </row>
    <row r="18" spans="1:18" x14ac:dyDescent="0.35">
      <c r="B18" t="s">
        <v>50</v>
      </c>
    </row>
    <row r="19" spans="1:18" x14ac:dyDescent="0.35">
      <c r="B19" t="s">
        <v>1</v>
      </c>
      <c r="C19" t="s">
        <v>57</v>
      </c>
      <c r="D19" t="s">
        <v>58</v>
      </c>
      <c r="E19" t="s">
        <v>59</v>
      </c>
    </row>
    <row r="20" spans="1:18" x14ac:dyDescent="0.35">
      <c r="A20" t="s">
        <v>29</v>
      </c>
      <c r="B20" t="s">
        <v>11</v>
      </c>
      <c r="C20" s="4">
        <v>0.57799999999999996</v>
      </c>
      <c r="D20" s="4">
        <v>0.58599999999999997</v>
      </c>
      <c r="E20" s="4">
        <v>0.63600000000000001</v>
      </c>
    </row>
    <row r="21" spans="1:18" x14ac:dyDescent="0.35">
      <c r="B21" t="s">
        <v>10</v>
      </c>
      <c r="C21" s="4">
        <v>0.45</v>
      </c>
      <c r="D21" s="4">
        <v>0.41499999999999998</v>
      </c>
      <c r="E21" s="4">
        <v>0.41199999999999998</v>
      </c>
    </row>
    <row r="22" spans="1:18" x14ac:dyDescent="0.35">
      <c r="B22" t="s">
        <v>44</v>
      </c>
      <c r="C22" s="4">
        <v>0.17499999999999999</v>
      </c>
      <c r="D22" s="4">
        <v>0.111</v>
      </c>
      <c r="E22" s="4">
        <v>0.183</v>
      </c>
    </row>
    <row r="23" spans="1:18" x14ac:dyDescent="0.35">
      <c r="A23" t="s">
        <v>60</v>
      </c>
      <c r="B23" t="s">
        <v>63</v>
      </c>
      <c r="C23" s="4">
        <v>0.57399999999999995</v>
      </c>
      <c r="D23" s="4">
        <v>0.13500000000000001</v>
      </c>
      <c r="E23" s="4">
        <v>0.38900000000000001</v>
      </c>
      <c r="R23" t="s">
        <v>69</v>
      </c>
    </row>
    <row r="24" spans="1:18" x14ac:dyDescent="0.35">
      <c r="B24" t="s">
        <v>61</v>
      </c>
      <c r="C24" s="4">
        <v>8.1000000000000003E-2</v>
      </c>
      <c r="D24" s="4">
        <v>7.8E-2</v>
      </c>
      <c r="E24" s="4">
        <v>0.124</v>
      </c>
      <c r="R24" t="s">
        <v>70</v>
      </c>
    </row>
    <row r="25" spans="1:18" x14ac:dyDescent="0.35">
      <c r="B25" t="s">
        <v>62</v>
      </c>
      <c r="C25" s="4">
        <v>0.36799999999999999</v>
      </c>
      <c r="D25" s="4">
        <v>0.39400000000000002</v>
      </c>
      <c r="E25" s="4">
        <v>0.253</v>
      </c>
    </row>
    <row r="26" spans="1:18" x14ac:dyDescent="0.35">
      <c r="A26" t="s">
        <v>68</v>
      </c>
      <c r="B26" t="s">
        <v>21</v>
      </c>
      <c r="C26" s="4">
        <v>0.13</v>
      </c>
      <c r="D26" s="4">
        <v>2.5999999999999999E-2</v>
      </c>
      <c r="E26" s="4">
        <v>0.39100000000000001</v>
      </c>
    </row>
    <row r="27" spans="1:18" x14ac:dyDescent="0.35">
      <c r="A27" t="s">
        <v>28</v>
      </c>
      <c r="B27" t="s">
        <v>47</v>
      </c>
      <c r="C27" s="4">
        <v>0.37</v>
      </c>
      <c r="D27" s="4">
        <v>0.38600000000000001</v>
      </c>
      <c r="E27" s="4">
        <v>0.437</v>
      </c>
    </row>
    <row r="28" spans="1:18" x14ac:dyDescent="0.35">
      <c r="B28" t="s">
        <v>45</v>
      </c>
      <c r="C28" s="4">
        <v>0.218</v>
      </c>
      <c r="D28" s="4">
        <v>0.188</v>
      </c>
      <c r="E28" s="4">
        <v>0.253</v>
      </c>
    </row>
    <row r="29" spans="1:18" x14ac:dyDescent="0.35">
      <c r="B29" t="s">
        <v>46</v>
      </c>
      <c r="C29" s="4">
        <v>0.14699999999999999</v>
      </c>
      <c r="D29" s="4">
        <v>0.15</v>
      </c>
      <c r="E29" s="4">
        <v>0.157</v>
      </c>
    </row>
    <row r="30" spans="1:18" x14ac:dyDescent="0.35">
      <c r="B30" t="s">
        <v>48</v>
      </c>
      <c r="C30" s="4">
        <v>9.7000000000000003E-2</v>
      </c>
      <c r="D30" s="4">
        <v>0.16</v>
      </c>
      <c r="E30" s="4">
        <v>0.11899999999999999</v>
      </c>
    </row>
    <row r="31" spans="1:18" x14ac:dyDescent="0.35">
      <c r="A31" t="s">
        <v>37</v>
      </c>
      <c r="B31" s="8" t="s">
        <v>67</v>
      </c>
      <c r="C31" s="10">
        <f>AVERAGE(C20:C30)</f>
        <v>0.28981818181818181</v>
      </c>
      <c r="D31" s="10">
        <f>AVERAGE(D20:D30)</f>
        <v>0.23899999999999999</v>
      </c>
      <c r="E31" s="10">
        <f>AVERAGE(E20:E30)</f>
        <v>0.30490909090909091</v>
      </c>
    </row>
    <row r="32" spans="1:18" x14ac:dyDescent="0.35">
      <c r="B32" t="s">
        <v>55</v>
      </c>
      <c r="C32" s="4">
        <f>_xlfn.STDEV.S(C20:C30)/SQRT(COUNT(C20:C30))</f>
        <v>5.617113755493007E-2</v>
      </c>
      <c r="D32" s="4">
        <f>_xlfn.STDEV.S(D20:D30)/SQRT(COUNT(D20:D30))</f>
        <v>5.3280731635708269E-2</v>
      </c>
      <c r="E32" s="4">
        <f>_xlfn.STDEV.S(E20:E30)/SQRT(COUNT(E20:E30))</f>
        <v>4.884473630252098E-2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7"/>
  <sheetViews>
    <sheetView topLeftCell="M75" zoomScale="72" zoomScaleNormal="55" workbookViewId="0">
      <selection activeCell="Y124" sqref="Y124"/>
    </sheetView>
  </sheetViews>
  <sheetFormatPr defaultRowHeight="14.5" x14ac:dyDescent="0.35"/>
  <cols>
    <col min="3" max="3" width="7.08984375" customWidth="1"/>
    <col min="4" max="4" width="10" bestFit="1" customWidth="1"/>
    <col min="5" max="5" width="11.1796875" bestFit="1" customWidth="1"/>
    <col min="6" max="6" width="22.08984375" bestFit="1" customWidth="1"/>
    <col min="7" max="9" width="22.08984375" customWidth="1"/>
    <col min="10" max="10" width="14.36328125" bestFit="1" customWidth="1"/>
    <col min="11" max="11" width="11.36328125" bestFit="1" customWidth="1"/>
  </cols>
  <sheetData>
    <row r="1" spans="1:10" x14ac:dyDescent="0.35">
      <c r="A1" t="s">
        <v>0</v>
      </c>
      <c r="B1" t="s">
        <v>1</v>
      </c>
      <c r="C1" t="s">
        <v>25</v>
      </c>
      <c r="D1" t="s">
        <v>2</v>
      </c>
      <c r="E1" t="s">
        <v>4</v>
      </c>
      <c r="F1" t="s">
        <v>3</v>
      </c>
      <c r="J1" t="s">
        <v>15</v>
      </c>
    </row>
    <row r="2" spans="1:10" x14ac:dyDescent="0.35">
      <c r="A2" t="s">
        <v>5</v>
      </c>
      <c r="B2" t="s">
        <v>9</v>
      </c>
      <c r="C2">
        <v>0.3882221716</v>
      </c>
      <c r="D2">
        <v>0.46700000000000003</v>
      </c>
      <c r="E2">
        <v>340.8</v>
      </c>
      <c r="F2">
        <v>0.12</v>
      </c>
    </row>
    <row r="3" spans="1:10" x14ac:dyDescent="0.35">
      <c r="B3" t="s">
        <v>10</v>
      </c>
      <c r="C3">
        <v>0.4082876701</v>
      </c>
      <c r="D3">
        <v>0.46300000000000002</v>
      </c>
      <c r="E3">
        <v>292.7</v>
      </c>
      <c r="F3">
        <v>0.16400000000000001</v>
      </c>
    </row>
    <row r="4" spans="1:10" x14ac:dyDescent="0.35">
      <c r="B4" t="s">
        <v>8</v>
      </c>
      <c r="C4">
        <v>0.61985700939999999</v>
      </c>
      <c r="D4">
        <v>0.442</v>
      </c>
      <c r="E4">
        <v>314</v>
      </c>
      <c r="F4">
        <v>0.12</v>
      </c>
    </row>
    <row r="5" spans="1:10" x14ac:dyDescent="0.35">
      <c r="B5" t="s">
        <v>7</v>
      </c>
      <c r="C5">
        <v>0.1458223203</v>
      </c>
      <c r="D5">
        <v>0.40799999999999997</v>
      </c>
      <c r="E5">
        <v>371.6</v>
      </c>
      <c r="F5">
        <v>0.111</v>
      </c>
    </row>
    <row r="6" spans="1:10" x14ac:dyDescent="0.35">
      <c r="B6" t="s">
        <v>6</v>
      </c>
      <c r="C6">
        <v>0.13486557269999999</v>
      </c>
      <c r="D6">
        <v>0.374</v>
      </c>
      <c r="E6">
        <v>346.6</v>
      </c>
      <c r="F6">
        <v>6.3E-2</v>
      </c>
    </row>
    <row r="7" spans="1:10" x14ac:dyDescent="0.35">
      <c r="B7" t="s">
        <v>11</v>
      </c>
      <c r="C7">
        <v>7.1747951170000004E-2</v>
      </c>
      <c r="D7">
        <v>0.312</v>
      </c>
      <c r="E7">
        <v>257.7</v>
      </c>
      <c r="F7">
        <v>0.17</v>
      </c>
    </row>
    <row r="8" spans="1:10" x14ac:dyDescent="0.35">
      <c r="B8" t="s">
        <v>30</v>
      </c>
      <c r="E8">
        <v>286</v>
      </c>
    </row>
    <row r="9" spans="1:10" x14ac:dyDescent="0.35">
      <c r="A9" t="s">
        <v>12</v>
      </c>
      <c r="B9" t="s">
        <v>8</v>
      </c>
      <c r="C9">
        <v>0.27749155771600498</v>
      </c>
      <c r="D9">
        <v>0.40100000000000002</v>
      </c>
      <c r="E9">
        <v>257.05</v>
      </c>
      <c r="F9">
        <v>-0.10199999999999999</v>
      </c>
      <c r="J9">
        <v>163</v>
      </c>
    </row>
    <row r="10" spans="1:10" x14ac:dyDescent="0.35">
      <c r="B10" t="s">
        <v>9</v>
      </c>
      <c r="C10">
        <v>0.25666775391575802</v>
      </c>
      <c r="D10">
        <v>0.39100000000000001</v>
      </c>
      <c r="E10">
        <v>295.01</v>
      </c>
      <c r="F10">
        <v>-0.113</v>
      </c>
      <c r="J10">
        <v>163</v>
      </c>
    </row>
    <row r="11" spans="1:10" x14ac:dyDescent="0.35">
      <c r="B11" t="s">
        <v>7</v>
      </c>
      <c r="C11">
        <v>0.31836085952235299</v>
      </c>
      <c r="D11">
        <v>0.379</v>
      </c>
      <c r="E11">
        <v>270.7</v>
      </c>
      <c r="F11">
        <v>-0.115</v>
      </c>
    </row>
    <row r="12" spans="1:10" x14ac:dyDescent="0.35">
      <c r="B12" t="s">
        <v>14</v>
      </c>
      <c r="C12">
        <v>0.115243205004764</v>
      </c>
      <c r="D12">
        <v>0.35699999999999998</v>
      </c>
      <c r="E12">
        <v>317.12</v>
      </c>
      <c r="F12">
        <v>-0.13600000000000001</v>
      </c>
      <c r="J12">
        <v>160</v>
      </c>
    </row>
    <row r="13" spans="1:10" x14ac:dyDescent="0.35">
      <c r="B13" t="s">
        <v>10</v>
      </c>
      <c r="C13">
        <v>0.43841542505719</v>
      </c>
      <c r="D13">
        <v>0.35099999999999998</v>
      </c>
      <c r="E13">
        <v>240.74</v>
      </c>
      <c r="F13">
        <v>-0.155</v>
      </c>
      <c r="J13">
        <v>158</v>
      </c>
    </row>
    <row r="14" spans="1:10" x14ac:dyDescent="0.35">
      <c r="B14" t="s">
        <v>6</v>
      </c>
      <c r="C14">
        <v>0.20128612370691801</v>
      </c>
      <c r="D14">
        <v>0.318</v>
      </c>
      <c r="E14">
        <v>298.39999999999998</v>
      </c>
      <c r="F14">
        <v>8.7999999999999995E-2</v>
      </c>
      <c r="J14">
        <v>117</v>
      </c>
    </row>
    <row r="15" spans="1:10" x14ac:dyDescent="0.35">
      <c r="B15" t="s">
        <v>13</v>
      </c>
      <c r="C15">
        <v>0.17482263239736898</v>
      </c>
      <c r="D15" s="1">
        <v>0.22009999999999999</v>
      </c>
      <c r="E15">
        <v>253.4</v>
      </c>
      <c r="F15">
        <v>-0.13700000000000001</v>
      </c>
    </row>
    <row r="16" spans="1:10" x14ac:dyDescent="0.35">
      <c r="B16" t="s">
        <v>19</v>
      </c>
      <c r="E16">
        <v>359</v>
      </c>
    </row>
    <row r="18" spans="2:9" x14ac:dyDescent="0.35">
      <c r="C18" t="s">
        <v>24</v>
      </c>
      <c r="D18" t="s">
        <v>5</v>
      </c>
      <c r="E18" t="s">
        <v>12</v>
      </c>
      <c r="F18" t="s">
        <v>23</v>
      </c>
    </row>
    <row r="19" spans="2:9" x14ac:dyDescent="0.35">
      <c r="B19" t="s">
        <v>6</v>
      </c>
      <c r="C19" s="2">
        <v>13.48655727</v>
      </c>
      <c r="D19">
        <f>D6</f>
        <v>0.374</v>
      </c>
      <c r="E19">
        <f>D14</f>
        <v>0.318</v>
      </c>
    </row>
    <row r="20" spans="2:9" x14ac:dyDescent="0.35">
      <c r="B20" t="s">
        <v>7</v>
      </c>
      <c r="C20" s="2">
        <v>14.58223203</v>
      </c>
      <c r="D20">
        <f>D5</f>
        <v>0.40799999999999997</v>
      </c>
      <c r="E20">
        <f>D11</f>
        <v>0.379</v>
      </c>
    </row>
    <row r="21" spans="2:9" x14ac:dyDescent="0.35">
      <c r="B21" t="s">
        <v>8</v>
      </c>
      <c r="C21" s="2">
        <v>61.985700940000001</v>
      </c>
      <c r="D21">
        <f>D4</f>
        <v>0.442</v>
      </c>
      <c r="E21">
        <f>D9</f>
        <v>0.40100000000000002</v>
      </c>
    </row>
    <row r="22" spans="2:9" x14ac:dyDescent="0.35">
      <c r="B22" t="s">
        <v>9</v>
      </c>
      <c r="C22" s="2">
        <v>38.822217160000001</v>
      </c>
      <c r="D22">
        <f>D2</f>
        <v>0.46700000000000003</v>
      </c>
      <c r="E22">
        <f>D10</f>
        <v>0.39100000000000001</v>
      </c>
    </row>
    <row r="23" spans="2:9" x14ac:dyDescent="0.35">
      <c r="B23" t="s">
        <v>10</v>
      </c>
      <c r="C23" s="2">
        <v>40.82876701</v>
      </c>
      <c r="D23">
        <f>D3</f>
        <v>0.46300000000000002</v>
      </c>
      <c r="E23">
        <f>D13</f>
        <v>0.35099999999999998</v>
      </c>
    </row>
    <row r="25" spans="2:9" x14ac:dyDescent="0.35">
      <c r="D25" t="s">
        <v>5</v>
      </c>
      <c r="E25" t="s">
        <v>12</v>
      </c>
    </row>
    <row r="26" spans="2:9" x14ac:dyDescent="0.35">
      <c r="B26" t="s">
        <v>6</v>
      </c>
      <c r="C26" s="2">
        <v>13.48655727</v>
      </c>
      <c r="D26">
        <f>E6</f>
        <v>346.6</v>
      </c>
      <c r="E26">
        <f>E14</f>
        <v>298.39999999999998</v>
      </c>
      <c r="F26" s="3">
        <f>C14</f>
        <v>0.20128612370691801</v>
      </c>
      <c r="G26" s="3"/>
      <c r="H26" s="3"/>
      <c r="I26" s="3"/>
    </row>
    <row r="27" spans="2:9" x14ac:dyDescent="0.35">
      <c r="B27" t="s">
        <v>7</v>
      </c>
      <c r="C27" s="2">
        <v>14.58223203</v>
      </c>
      <c r="D27">
        <f>E5</f>
        <v>371.6</v>
      </c>
      <c r="E27">
        <f>E11</f>
        <v>270.7</v>
      </c>
      <c r="F27" s="3">
        <f>C11</f>
        <v>0.31836085952235299</v>
      </c>
      <c r="G27" s="3"/>
      <c r="H27" s="3"/>
      <c r="I27" s="3"/>
    </row>
    <row r="28" spans="2:9" x14ac:dyDescent="0.35">
      <c r="B28" t="s">
        <v>8</v>
      </c>
      <c r="C28" s="2">
        <v>61.985700940000001</v>
      </c>
      <c r="D28">
        <f>E4</f>
        <v>314</v>
      </c>
      <c r="E28">
        <f>E9</f>
        <v>257.05</v>
      </c>
      <c r="F28" s="3">
        <f>C9</f>
        <v>0.27749155771600498</v>
      </c>
      <c r="G28" s="3"/>
      <c r="H28" s="3"/>
      <c r="I28" s="3"/>
    </row>
    <row r="29" spans="2:9" x14ac:dyDescent="0.35">
      <c r="B29" t="s">
        <v>9</v>
      </c>
      <c r="C29" s="2">
        <v>38.822217160000001</v>
      </c>
      <c r="D29">
        <f>E2</f>
        <v>340.8</v>
      </c>
      <c r="E29">
        <f>E10</f>
        <v>295.01</v>
      </c>
      <c r="F29" s="3">
        <f>C10</f>
        <v>0.25666775391575802</v>
      </c>
      <c r="G29" s="3"/>
      <c r="H29" s="3"/>
      <c r="I29" s="3"/>
    </row>
    <row r="30" spans="2:9" x14ac:dyDescent="0.35">
      <c r="B30" t="s">
        <v>10</v>
      </c>
      <c r="C30" s="2">
        <v>40.82876701</v>
      </c>
      <c r="D30">
        <f>E3</f>
        <v>292.7</v>
      </c>
      <c r="E30">
        <f>E13</f>
        <v>240.74</v>
      </c>
      <c r="F30" s="3">
        <f>C13</f>
        <v>0.43841542505719</v>
      </c>
      <c r="G30" s="3"/>
      <c r="H30" s="3"/>
      <c r="I30" s="3"/>
    </row>
    <row r="32" spans="2:9" x14ac:dyDescent="0.35">
      <c r="C32" t="s">
        <v>24</v>
      </c>
      <c r="D32" t="s">
        <v>16</v>
      </c>
      <c r="E32" t="s">
        <v>22</v>
      </c>
      <c r="F32" t="s">
        <v>26</v>
      </c>
    </row>
    <row r="33" spans="2:6" x14ac:dyDescent="0.35">
      <c r="B33" t="s">
        <v>17</v>
      </c>
      <c r="D33">
        <v>351</v>
      </c>
    </row>
    <row r="34" spans="2:6" x14ac:dyDescent="0.35">
      <c r="B34" t="s">
        <v>18</v>
      </c>
      <c r="D34">
        <v>346</v>
      </c>
    </row>
    <row r="35" spans="2:6" x14ac:dyDescent="0.35">
      <c r="B35" t="s">
        <v>19</v>
      </c>
      <c r="D35">
        <v>206</v>
      </c>
      <c r="E35">
        <f>E8</f>
        <v>286</v>
      </c>
      <c r="F35">
        <f>E16</f>
        <v>359</v>
      </c>
    </row>
    <row r="36" spans="2:6" x14ac:dyDescent="0.35">
      <c r="B36" t="s">
        <v>20</v>
      </c>
      <c r="D36">
        <v>361</v>
      </c>
    </row>
    <row r="37" spans="2:6" x14ac:dyDescent="0.35">
      <c r="B37" t="s">
        <v>9</v>
      </c>
      <c r="D37">
        <v>263</v>
      </c>
      <c r="E37">
        <f>D29</f>
        <v>340.8</v>
      </c>
      <c r="F37">
        <f>E29</f>
        <v>295.01</v>
      </c>
    </row>
    <row r="38" spans="2:6" x14ac:dyDescent="0.35">
      <c r="B38" t="s">
        <v>21</v>
      </c>
      <c r="D38">
        <v>186.9</v>
      </c>
    </row>
    <row r="39" spans="2:6" x14ac:dyDescent="0.35">
      <c r="B39" t="s">
        <v>7</v>
      </c>
      <c r="D39">
        <v>337</v>
      </c>
      <c r="E39">
        <f>D27</f>
        <v>371.6</v>
      </c>
      <c r="F39">
        <f>E27</f>
        <v>270.7</v>
      </c>
    </row>
    <row r="40" spans="2:6" x14ac:dyDescent="0.35">
      <c r="B40" t="s">
        <v>8</v>
      </c>
      <c r="D40">
        <v>189.6</v>
      </c>
      <c r="E40">
        <f>D28</f>
        <v>314</v>
      </c>
      <c r="F40">
        <f>E28</f>
        <v>257.05</v>
      </c>
    </row>
    <row r="41" spans="2:6" x14ac:dyDescent="0.35">
      <c r="B41" t="s">
        <v>6</v>
      </c>
      <c r="D41">
        <v>198</v>
      </c>
      <c r="E41">
        <f>D26</f>
        <v>346.6</v>
      </c>
      <c r="F41">
        <f>E26</f>
        <v>298.39999999999998</v>
      </c>
    </row>
    <row r="42" spans="2:6" x14ac:dyDescent="0.35">
      <c r="B42" t="s">
        <v>10</v>
      </c>
      <c r="D42">
        <f>D66</f>
        <v>161.5</v>
      </c>
      <c r="E42">
        <f>E3</f>
        <v>292.7</v>
      </c>
      <c r="F42">
        <f>E13</f>
        <v>240.74</v>
      </c>
    </row>
    <row r="43" spans="2:6" x14ac:dyDescent="0.35">
      <c r="B43" t="s">
        <v>11</v>
      </c>
      <c r="D43">
        <f>D68</f>
        <v>166.5</v>
      </c>
      <c r="E43">
        <f>E7</f>
        <v>257.7</v>
      </c>
      <c r="F43">
        <v>251.1</v>
      </c>
    </row>
    <row r="45" spans="2:6" x14ac:dyDescent="0.35">
      <c r="B45" t="s">
        <v>3</v>
      </c>
      <c r="D45" t="s">
        <v>16</v>
      </c>
    </row>
    <row r="46" spans="2:6" x14ac:dyDescent="0.35">
      <c r="B46" t="s">
        <v>7</v>
      </c>
      <c r="C46" s="4">
        <v>0.1458223203</v>
      </c>
      <c r="D46" s="4">
        <v>8.0799999999999997E-2</v>
      </c>
    </row>
    <row r="47" spans="2:6" x14ac:dyDescent="0.35">
      <c r="B47" t="s">
        <v>20</v>
      </c>
      <c r="C47" s="4">
        <v>0.34598979030000004</v>
      </c>
      <c r="D47" s="4">
        <v>9.6000000000000002E-2</v>
      </c>
    </row>
    <row r="48" spans="2:6" x14ac:dyDescent="0.35">
      <c r="B48" t="s">
        <v>21</v>
      </c>
      <c r="C48" s="4">
        <v>0.6619802722</v>
      </c>
      <c r="D48" s="4">
        <v>0.13</v>
      </c>
    </row>
    <row r="49" spans="2:4" x14ac:dyDescent="0.35">
      <c r="B49" t="s">
        <v>18</v>
      </c>
      <c r="C49" s="4">
        <v>9.5516059779999996E-2</v>
      </c>
      <c r="D49" s="4">
        <v>0.14710000000000001</v>
      </c>
    </row>
    <row r="50" spans="2:4" x14ac:dyDescent="0.35">
      <c r="B50" t="s">
        <v>9</v>
      </c>
      <c r="C50" s="4">
        <v>0.3882221716</v>
      </c>
      <c r="D50" s="4">
        <v>0.17499999999999999</v>
      </c>
    </row>
    <row r="51" spans="2:4" x14ac:dyDescent="0.35">
      <c r="B51" t="s">
        <v>17</v>
      </c>
      <c r="C51" s="4">
        <v>3.256659931E-2</v>
      </c>
      <c r="D51" s="4">
        <v>0.21759999999999999</v>
      </c>
    </row>
    <row r="52" spans="2:4" x14ac:dyDescent="0.35">
      <c r="B52" t="s">
        <v>8</v>
      </c>
      <c r="C52" s="4">
        <v>0.61985700939999999</v>
      </c>
      <c r="D52" s="4">
        <v>0.36820000000000003</v>
      </c>
    </row>
    <row r="53" spans="2:4" x14ac:dyDescent="0.35">
      <c r="B53" t="s">
        <v>19</v>
      </c>
      <c r="C53" s="4">
        <v>7.7682684299999999E-2</v>
      </c>
      <c r="D53" s="4">
        <v>0.37040000000000001</v>
      </c>
    </row>
    <row r="54" spans="2:4" x14ac:dyDescent="0.35">
      <c r="B54" t="s">
        <v>10</v>
      </c>
      <c r="C54" s="4">
        <f>C3</f>
        <v>0.4082876701</v>
      </c>
      <c r="D54" s="4">
        <v>0.45</v>
      </c>
    </row>
    <row r="55" spans="2:4" x14ac:dyDescent="0.35">
      <c r="B55" t="s">
        <v>6</v>
      </c>
      <c r="C55" s="4">
        <v>0.13486557269999999</v>
      </c>
      <c r="D55" s="4">
        <v>0.57399999999999995</v>
      </c>
    </row>
    <row r="56" spans="2:4" x14ac:dyDescent="0.35">
      <c r="B56" t="s">
        <v>11</v>
      </c>
      <c r="C56">
        <f>C7</f>
        <v>7.1747951170000004E-2</v>
      </c>
      <c r="D56" s="4">
        <v>0.57750000000000001</v>
      </c>
    </row>
    <row r="58" spans="2:4" x14ac:dyDescent="0.35">
      <c r="B58" t="s">
        <v>7</v>
      </c>
      <c r="C58" s="2">
        <v>14.58223203</v>
      </c>
      <c r="D58">
        <f>VLOOKUP(B58,$B$33:$D$41,3,0)</f>
        <v>337</v>
      </c>
    </row>
    <row r="59" spans="2:4" x14ac:dyDescent="0.35">
      <c r="B59" t="s">
        <v>20</v>
      </c>
      <c r="C59" s="2">
        <v>34.598979030000002</v>
      </c>
      <c r="D59">
        <f t="shared" ref="D59:D67" si="0">VLOOKUP(B59,$B$33:$D$41,3,0)</f>
        <v>361</v>
      </c>
    </row>
    <row r="60" spans="2:4" x14ac:dyDescent="0.35">
      <c r="B60" t="s">
        <v>21</v>
      </c>
      <c r="C60" s="2">
        <v>66.19802722</v>
      </c>
      <c r="D60">
        <f t="shared" si="0"/>
        <v>186.9</v>
      </c>
    </row>
    <row r="61" spans="2:4" x14ac:dyDescent="0.35">
      <c r="B61" t="s">
        <v>18</v>
      </c>
      <c r="C61" s="2">
        <v>9.5516059779999996</v>
      </c>
      <c r="D61">
        <f t="shared" si="0"/>
        <v>346</v>
      </c>
    </row>
    <row r="62" spans="2:4" x14ac:dyDescent="0.35">
      <c r="B62" t="s">
        <v>9</v>
      </c>
      <c r="C62" s="2">
        <v>38.822217160000001</v>
      </c>
      <c r="D62">
        <f t="shared" si="0"/>
        <v>263</v>
      </c>
    </row>
    <row r="63" spans="2:4" x14ac:dyDescent="0.35">
      <c r="B63" t="s">
        <v>17</v>
      </c>
      <c r="C63" s="2">
        <v>3.2566599309999997</v>
      </c>
      <c r="D63">
        <f t="shared" si="0"/>
        <v>351</v>
      </c>
    </row>
    <row r="64" spans="2:4" x14ac:dyDescent="0.35">
      <c r="B64" t="s">
        <v>8</v>
      </c>
      <c r="C64" s="2">
        <v>61.985700940000001</v>
      </c>
      <c r="D64">
        <f t="shared" si="0"/>
        <v>189.6</v>
      </c>
    </row>
    <row r="65" spans="2:11" x14ac:dyDescent="0.35">
      <c r="B65" t="s">
        <v>19</v>
      </c>
      <c r="C65" s="2">
        <v>7.76826843</v>
      </c>
      <c r="D65">
        <f t="shared" si="0"/>
        <v>206</v>
      </c>
    </row>
    <row r="66" spans="2:11" x14ac:dyDescent="0.35">
      <c r="B66" t="s">
        <v>10</v>
      </c>
      <c r="C66" s="2">
        <f>C54*100</f>
        <v>40.82876701</v>
      </c>
      <c r="D66">
        <v>161.5</v>
      </c>
    </row>
    <row r="67" spans="2:11" x14ac:dyDescent="0.35">
      <c r="B67" t="s">
        <v>6</v>
      </c>
      <c r="C67" s="2">
        <v>13.486557269999999</v>
      </c>
      <c r="D67">
        <f t="shared" si="0"/>
        <v>198</v>
      </c>
    </row>
    <row r="68" spans="2:11" x14ac:dyDescent="0.35">
      <c r="B68" t="s">
        <v>11</v>
      </c>
      <c r="C68" s="2">
        <f>C56*100</f>
        <v>7.1747951170000004</v>
      </c>
      <c r="D68">
        <v>166.5</v>
      </c>
    </row>
    <row r="75" spans="2:11" x14ac:dyDescent="0.35">
      <c r="D75" t="s">
        <v>16</v>
      </c>
    </row>
    <row r="76" spans="2:11" x14ac:dyDescent="0.35">
      <c r="D76" t="s">
        <v>35</v>
      </c>
      <c r="G76" t="s">
        <v>36</v>
      </c>
    </row>
    <row r="77" spans="2:11" x14ac:dyDescent="0.35">
      <c r="B77" t="s">
        <v>3</v>
      </c>
      <c r="D77" t="s">
        <v>39</v>
      </c>
      <c r="E77" t="s">
        <v>40</v>
      </c>
      <c r="F77" t="s">
        <v>41</v>
      </c>
      <c r="G77" t="s">
        <v>38</v>
      </c>
      <c r="H77" t="s">
        <v>34</v>
      </c>
      <c r="I77" t="s">
        <v>42</v>
      </c>
      <c r="J77" t="s">
        <v>32</v>
      </c>
      <c r="K77" t="s">
        <v>33</v>
      </c>
    </row>
    <row r="78" spans="2:11" x14ac:dyDescent="0.35">
      <c r="B78" t="s">
        <v>18</v>
      </c>
      <c r="D78" s="1">
        <v>0.14710000000000001</v>
      </c>
      <c r="E78" s="1">
        <v>0.15</v>
      </c>
      <c r="F78" s="6">
        <v>0.13469999999999999</v>
      </c>
      <c r="G78" s="6">
        <v>0.1472</v>
      </c>
      <c r="H78" s="6">
        <v>0.1565</v>
      </c>
      <c r="I78" s="6">
        <v>0.19059999999999999</v>
      </c>
      <c r="J78" s="4">
        <f>D78-E78</f>
        <v>-2.8999999999999859E-3</v>
      </c>
      <c r="K78" s="4">
        <f>IF(F78&lt;&gt;"",F78-E78, 0)</f>
        <v>-1.5300000000000008E-2</v>
      </c>
    </row>
    <row r="79" spans="2:11" x14ac:dyDescent="0.35">
      <c r="B79" t="s">
        <v>20</v>
      </c>
      <c r="D79" s="1">
        <v>9.6000000000000002E-2</v>
      </c>
      <c r="E79" s="1">
        <v>0.16</v>
      </c>
      <c r="F79" s="6">
        <v>9.5600000000000004E-2</v>
      </c>
      <c r="G79" s="6">
        <v>7.8799999999999995E-2</v>
      </c>
      <c r="H79" s="6">
        <v>0.11940000000000001</v>
      </c>
      <c r="I79" s="6">
        <v>0.13650000000000001</v>
      </c>
      <c r="J79" s="4">
        <f t="shared" ref="J79:J88" si="1">D79-E79</f>
        <v>-6.4000000000000001E-2</v>
      </c>
      <c r="K79" s="4">
        <f>IF(F79&lt;&gt;"",F79-E79, 0)</f>
        <v>-6.4399999999999999E-2</v>
      </c>
    </row>
    <row r="80" spans="2:11" x14ac:dyDescent="0.35">
      <c r="B80" t="s">
        <v>17</v>
      </c>
      <c r="D80" s="1">
        <v>0.21759999999999999</v>
      </c>
      <c r="E80" s="1">
        <v>0.188</v>
      </c>
      <c r="F80" s="6">
        <v>0.22020000000000001</v>
      </c>
      <c r="G80" s="6">
        <v>0.2397</v>
      </c>
      <c r="H80" s="6">
        <v>0.25340000000000001</v>
      </c>
      <c r="I80" s="6">
        <v>0.29160000000000003</v>
      </c>
      <c r="J80" s="4">
        <f t="shared" si="1"/>
        <v>2.9599999999999987E-2</v>
      </c>
      <c r="K80" s="4">
        <f t="shared" ref="K80:K88" si="2">IF(F80&lt;&gt;"",F80-E80, 0)</f>
        <v>3.2200000000000006E-2</v>
      </c>
    </row>
    <row r="81" spans="1:11" x14ac:dyDescent="0.35">
      <c r="B81" t="s">
        <v>19</v>
      </c>
      <c r="D81" s="1">
        <v>0.37040000000000001</v>
      </c>
      <c r="E81" s="6">
        <v>0.38600000000000001</v>
      </c>
      <c r="F81" s="6">
        <v>0.38390000000000002</v>
      </c>
      <c r="G81" s="6">
        <v>0.39240000000000003</v>
      </c>
      <c r="H81" s="6">
        <v>0.43669999999999998</v>
      </c>
      <c r="I81" s="6">
        <v>0.4743</v>
      </c>
      <c r="J81" s="4">
        <f t="shared" si="1"/>
        <v>-1.5600000000000003E-2</v>
      </c>
      <c r="K81" s="4">
        <f t="shared" si="2"/>
        <v>-2.0999999999999908E-3</v>
      </c>
    </row>
    <row r="82" spans="1:11" x14ac:dyDescent="0.35">
      <c r="B82" t="s">
        <v>21</v>
      </c>
      <c r="D82" s="1">
        <v>0.13</v>
      </c>
      <c r="E82" s="6">
        <v>2.5999999999999999E-2</v>
      </c>
      <c r="F82" s="6">
        <v>6.2E-2</v>
      </c>
      <c r="G82" s="6">
        <v>0.37530000000000002</v>
      </c>
      <c r="H82" s="6">
        <v>0.39100000000000001</v>
      </c>
      <c r="I82" s="6"/>
      <c r="J82" s="4">
        <f t="shared" si="1"/>
        <v>0.10400000000000001</v>
      </c>
      <c r="K82" s="4">
        <f t="shared" si="2"/>
        <v>3.6000000000000004E-2</v>
      </c>
    </row>
    <row r="83" spans="1:11" x14ac:dyDescent="0.35">
      <c r="B83" t="s">
        <v>6</v>
      </c>
      <c r="D83" s="1">
        <v>0.57399999999999995</v>
      </c>
      <c r="E83" s="6">
        <v>0.13500000000000001</v>
      </c>
      <c r="F83" s="6">
        <v>0.58699999999999997</v>
      </c>
      <c r="G83" s="6">
        <v>0.38500000000000001</v>
      </c>
      <c r="H83" s="6">
        <v>0.38890000000000002</v>
      </c>
      <c r="I83" s="6"/>
      <c r="J83" s="4">
        <f t="shared" si="1"/>
        <v>0.43899999999999995</v>
      </c>
      <c r="K83" s="4">
        <f t="shared" si="2"/>
        <v>0.45199999999999996</v>
      </c>
    </row>
    <row r="84" spans="1:11" x14ac:dyDescent="0.35">
      <c r="B84" t="s">
        <v>7</v>
      </c>
      <c r="D84" s="1">
        <v>8.0799999999999997E-2</v>
      </c>
      <c r="E84" s="6">
        <v>7.8E-2</v>
      </c>
      <c r="F84" s="6">
        <v>7.5999999999999998E-2</v>
      </c>
      <c r="G84" s="6">
        <v>0.1037</v>
      </c>
      <c r="H84" s="6">
        <v>0.12429999999999999</v>
      </c>
      <c r="I84" s="6">
        <v>0.121</v>
      </c>
      <c r="J84" s="4">
        <f t="shared" si="1"/>
        <v>2.7999999999999969E-3</v>
      </c>
      <c r="K84" s="4">
        <f t="shared" si="2"/>
        <v>-2.0000000000000018E-3</v>
      </c>
    </row>
    <row r="85" spans="1:11" x14ac:dyDescent="0.35">
      <c r="B85" t="s">
        <v>8</v>
      </c>
      <c r="D85" s="1">
        <v>0.36820000000000003</v>
      </c>
      <c r="E85" s="1">
        <v>0.39400000000000002</v>
      </c>
      <c r="F85" s="6">
        <v>0.38540000000000002</v>
      </c>
      <c r="G85" s="6">
        <v>0.26869999999999999</v>
      </c>
      <c r="H85" s="6">
        <v>0.25259999999999999</v>
      </c>
      <c r="I85" s="6">
        <v>0.28460000000000002</v>
      </c>
      <c r="J85" s="4">
        <f t="shared" si="1"/>
        <v>-2.579999999999999E-2</v>
      </c>
      <c r="K85" s="4">
        <f t="shared" si="2"/>
        <v>-8.5999999999999965E-3</v>
      </c>
    </row>
    <row r="86" spans="1:11" x14ac:dyDescent="0.35">
      <c r="B86" t="s">
        <v>9</v>
      </c>
      <c r="D86" s="1">
        <v>0.17499999999999999</v>
      </c>
      <c r="E86" s="1">
        <v>0.111</v>
      </c>
      <c r="F86" s="6">
        <v>0.1497</v>
      </c>
      <c r="G86" s="6">
        <v>0.1832</v>
      </c>
      <c r="H86" s="6">
        <v>0.18329999999999999</v>
      </c>
      <c r="I86" s="6">
        <v>0.1958</v>
      </c>
      <c r="J86" s="4">
        <f t="shared" si="1"/>
        <v>6.3999999999999987E-2</v>
      </c>
      <c r="K86" s="4">
        <f t="shared" si="2"/>
        <v>3.8699999999999998E-2</v>
      </c>
    </row>
    <row r="87" spans="1:11" x14ac:dyDescent="0.35">
      <c r="B87" t="s">
        <v>10</v>
      </c>
      <c r="D87" s="1">
        <v>0.45</v>
      </c>
      <c r="E87" s="1">
        <v>0.41499999999999998</v>
      </c>
      <c r="F87" s="6">
        <v>0.45429999999999998</v>
      </c>
      <c r="G87" s="6">
        <v>0.316</v>
      </c>
      <c r="H87" s="6">
        <v>0.41199999999999998</v>
      </c>
      <c r="I87" s="6">
        <v>0.45140000000000002</v>
      </c>
      <c r="J87" s="4">
        <f t="shared" si="1"/>
        <v>3.5000000000000031E-2</v>
      </c>
      <c r="K87" s="4">
        <f t="shared" si="2"/>
        <v>3.9300000000000002E-2</v>
      </c>
    </row>
    <row r="88" spans="1:11" x14ac:dyDescent="0.35">
      <c r="B88" t="s">
        <v>11</v>
      </c>
      <c r="D88" s="1">
        <v>0.57750000000000001</v>
      </c>
      <c r="E88" s="1">
        <v>0.58599999999999997</v>
      </c>
      <c r="F88" s="6">
        <v>0.55469999999999997</v>
      </c>
      <c r="G88" s="6">
        <v>0.60829999999999995</v>
      </c>
      <c r="H88" s="6">
        <v>0.63560000000000005</v>
      </c>
      <c r="I88" s="6">
        <v>0.63780000000000003</v>
      </c>
      <c r="J88" s="4">
        <f t="shared" si="1"/>
        <v>-8.499999999999952E-3</v>
      </c>
      <c r="K88" s="4">
        <f t="shared" si="2"/>
        <v>-3.1299999999999994E-2</v>
      </c>
    </row>
    <row r="90" spans="1:11" x14ac:dyDescent="0.35">
      <c r="C90" t="s">
        <v>31</v>
      </c>
      <c r="D90" s="1">
        <f t="shared" ref="D90:J90" si="3">AVERAGE(D77:D88)</f>
        <v>0.28969090909090911</v>
      </c>
      <c r="E90" s="1">
        <f t="shared" si="3"/>
        <v>0.23899999999999996</v>
      </c>
      <c r="F90" s="1">
        <f t="shared" si="3"/>
        <v>0.28213636363636363</v>
      </c>
      <c r="G90" s="1">
        <f t="shared" si="3"/>
        <v>0.28166363636363634</v>
      </c>
      <c r="H90" s="1">
        <f t="shared" si="3"/>
        <v>0.3048818181818182</v>
      </c>
      <c r="I90" s="1">
        <f t="shared" si="3"/>
        <v>0.30928888888888889</v>
      </c>
      <c r="J90" s="1">
        <f t="shared" si="3"/>
        <v>5.0690909090909099E-2</v>
      </c>
      <c r="K90" s="1">
        <f>AVERAGE(K77:K88)</f>
        <v>4.3136363636363639E-2</v>
      </c>
    </row>
    <row r="91" spans="1:11" x14ac:dyDescent="0.35">
      <c r="D91" s="4">
        <f t="shared" ref="D91:K91" si="4">_xlfn.STDEV.P(D78:D88)/SQRT(COUNT(D78:D88))</f>
        <v>5.3580742276494009E-2</v>
      </c>
      <c r="E91" s="4">
        <f t="shared" si="4"/>
        <v>5.0801184342281966E-2</v>
      </c>
      <c r="F91" s="4">
        <f t="shared" si="4"/>
        <v>5.6535904298339081E-2</v>
      </c>
      <c r="G91" s="4">
        <f t="shared" si="4"/>
        <v>4.4731363953181079E-2</v>
      </c>
      <c r="H91" s="4">
        <f t="shared" si="4"/>
        <v>4.6523487035909784E-2</v>
      </c>
      <c r="I91" s="4">
        <f t="shared" si="4"/>
        <v>5.5393286227864158E-2</v>
      </c>
      <c r="J91" s="4">
        <f t="shared" si="4"/>
        <v>3.9266246213005965E-2</v>
      </c>
      <c r="K91" s="4">
        <f t="shared" si="4"/>
        <v>4.0108770032358763E-2</v>
      </c>
    </row>
    <row r="93" spans="1:11" x14ac:dyDescent="0.35">
      <c r="F93" s="5"/>
      <c r="G93" s="5"/>
      <c r="H93" s="5"/>
      <c r="I93" s="5"/>
    </row>
    <row r="94" spans="1:11" x14ac:dyDescent="0.35">
      <c r="A94" t="s">
        <v>28</v>
      </c>
      <c r="B94" t="s">
        <v>18</v>
      </c>
      <c r="C94" s="3">
        <f>VLOOKUP(B94,$B$58:$D$68,2,0)</f>
        <v>9.5516059779999996</v>
      </c>
      <c r="D94" s="2">
        <v>346</v>
      </c>
      <c r="E94">
        <v>320.5</v>
      </c>
      <c r="F94" s="5">
        <v>335.6</v>
      </c>
      <c r="G94" s="5">
        <v>190.6</v>
      </c>
      <c r="H94" s="5">
        <v>203.67</v>
      </c>
      <c r="I94" s="5">
        <v>207.77</v>
      </c>
      <c r="J94" s="2">
        <f>D94-E94</f>
        <v>25.5</v>
      </c>
      <c r="K94" s="4">
        <f>IF(F94&lt;&gt;"",F94-E94, 0)</f>
        <v>15.100000000000023</v>
      </c>
    </row>
    <row r="95" spans="1:11" x14ac:dyDescent="0.35">
      <c r="B95" t="s">
        <v>20</v>
      </c>
      <c r="C95" s="3">
        <f t="shared" ref="C95:C104" si="5">VLOOKUP(B95,$B$58:$D$68,2,0)</f>
        <v>34.598979030000002</v>
      </c>
      <c r="D95" s="2">
        <v>361</v>
      </c>
      <c r="E95">
        <v>282.99</v>
      </c>
      <c r="F95" s="5">
        <v>371.7</v>
      </c>
      <c r="G95" s="5">
        <v>182.4</v>
      </c>
      <c r="H95" s="5">
        <v>225.73</v>
      </c>
      <c r="I95" s="5">
        <v>235.86</v>
      </c>
      <c r="J95" s="2">
        <f t="shared" ref="J95:J104" si="6">D95-E95</f>
        <v>78.009999999999991</v>
      </c>
      <c r="K95" s="4">
        <f t="shared" ref="K95:K104" si="7">IF(F95&lt;&gt;"",F95-E95, 0)</f>
        <v>88.70999999999998</v>
      </c>
    </row>
    <row r="96" spans="1:11" x14ac:dyDescent="0.35">
      <c r="B96" t="s">
        <v>17</v>
      </c>
      <c r="C96" s="3">
        <f t="shared" si="5"/>
        <v>3.2566599309999997</v>
      </c>
      <c r="D96" s="2">
        <v>351</v>
      </c>
      <c r="E96">
        <v>270.92</v>
      </c>
      <c r="F96" s="5">
        <v>307.8</v>
      </c>
      <c r="G96" s="5">
        <v>189.68</v>
      </c>
      <c r="H96" s="5">
        <v>204.3</v>
      </c>
      <c r="I96" s="5">
        <v>201.6</v>
      </c>
      <c r="J96" s="2">
        <f t="shared" si="6"/>
        <v>80.079999999999984</v>
      </c>
      <c r="K96" s="4">
        <f t="shared" si="7"/>
        <v>36.879999999999995</v>
      </c>
    </row>
    <row r="97" spans="1:11" x14ac:dyDescent="0.35">
      <c r="B97" t="s">
        <v>19</v>
      </c>
      <c r="C97" s="3">
        <f t="shared" si="5"/>
        <v>7.76826843</v>
      </c>
      <c r="D97" s="2">
        <v>206</v>
      </c>
      <c r="E97">
        <v>167.42</v>
      </c>
      <c r="F97" s="5">
        <v>187.85</v>
      </c>
      <c r="G97" s="5">
        <v>239.58</v>
      </c>
      <c r="H97" s="5">
        <v>248.8</v>
      </c>
      <c r="I97" s="5">
        <v>236.07</v>
      </c>
      <c r="J97" s="2">
        <f t="shared" si="6"/>
        <v>38.580000000000013</v>
      </c>
      <c r="K97" s="4">
        <f t="shared" si="7"/>
        <v>20.430000000000007</v>
      </c>
    </row>
    <row r="98" spans="1:11" x14ac:dyDescent="0.35">
      <c r="A98" t="s">
        <v>27</v>
      </c>
      <c r="B98" t="s">
        <v>21</v>
      </c>
      <c r="C98" s="3">
        <f t="shared" si="5"/>
        <v>66.19802722</v>
      </c>
      <c r="D98" s="2">
        <v>186.9</v>
      </c>
      <c r="E98">
        <v>195.12</v>
      </c>
      <c r="F98" s="7">
        <v>208.06</v>
      </c>
      <c r="G98" s="7">
        <v>241.3</v>
      </c>
      <c r="H98" s="7">
        <v>234.77</v>
      </c>
      <c r="I98" s="7"/>
      <c r="J98" s="2">
        <f t="shared" si="6"/>
        <v>-8.2199999999999989</v>
      </c>
      <c r="K98" s="4">
        <f t="shared" si="7"/>
        <v>12.939999999999998</v>
      </c>
    </row>
    <row r="99" spans="1:11" x14ac:dyDescent="0.35">
      <c r="B99" t="s">
        <v>6</v>
      </c>
      <c r="C99" s="3">
        <f t="shared" si="5"/>
        <v>13.486557269999999</v>
      </c>
      <c r="D99" s="2">
        <v>198</v>
      </c>
      <c r="E99">
        <v>263.81</v>
      </c>
      <c r="F99" s="5">
        <v>223.67</v>
      </c>
      <c r="G99" s="5">
        <v>260.10000000000002</v>
      </c>
      <c r="H99" s="5">
        <v>287.91000000000003</v>
      </c>
      <c r="I99" s="5"/>
      <c r="J99" s="2">
        <f t="shared" si="6"/>
        <v>-65.81</v>
      </c>
      <c r="K99" s="4">
        <f t="shared" si="7"/>
        <v>-40.140000000000015</v>
      </c>
    </row>
    <row r="100" spans="1:11" x14ac:dyDescent="0.35">
      <c r="B100" t="s">
        <v>7</v>
      </c>
      <c r="C100" s="3">
        <f t="shared" si="5"/>
        <v>14.58223203</v>
      </c>
      <c r="D100" s="2">
        <v>337</v>
      </c>
      <c r="E100">
        <v>378.26</v>
      </c>
      <c r="F100" s="5">
        <v>345.61</v>
      </c>
      <c r="G100" s="5">
        <v>218.71</v>
      </c>
      <c r="H100" s="5">
        <v>240.87</v>
      </c>
      <c r="I100" s="5">
        <v>250.71</v>
      </c>
      <c r="J100" s="2">
        <f t="shared" si="6"/>
        <v>-41.259999999999991</v>
      </c>
      <c r="K100" s="4">
        <f t="shared" si="7"/>
        <v>-32.649999999999977</v>
      </c>
    </row>
    <row r="101" spans="1:11" x14ac:dyDescent="0.35">
      <c r="B101" t="s">
        <v>8</v>
      </c>
      <c r="C101" s="3">
        <f t="shared" si="5"/>
        <v>61.985700940000001</v>
      </c>
      <c r="D101" s="2">
        <v>189.6</v>
      </c>
      <c r="E101">
        <v>226.95</v>
      </c>
      <c r="F101" s="5">
        <v>223.14</v>
      </c>
      <c r="G101" s="5">
        <v>200.8</v>
      </c>
      <c r="H101" s="5">
        <v>201.04</v>
      </c>
      <c r="I101" s="5">
        <v>201.35</v>
      </c>
      <c r="J101" s="2">
        <f t="shared" si="6"/>
        <v>-37.349999999999994</v>
      </c>
      <c r="K101" s="4">
        <f t="shared" si="7"/>
        <v>-3.8100000000000023</v>
      </c>
    </row>
    <row r="102" spans="1:11" x14ac:dyDescent="0.35">
      <c r="A102" t="s">
        <v>29</v>
      </c>
      <c r="B102" t="s">
        <v>9</v>
      </c>
      <c r="C102" s="3">
        <f t="shared" si="5"/>
        <v>38.822217160000001</v>
      </c>
      <c r="D102" s="2">
        <v>263</v>
      </c>
      <c r="E102">
        <v>261.54000000000002</v>
      </c>
      <c r="F102" s="5">
        <v>274.22000000000003</v>
      </c>
      <c r="G102" s="5">
        <v>167.77</v>
      </c>
      <c r="H102" s="5">
        <v>177.4</v>
      </c>
      <c r="I102" s="5">
        <v>185.46</v>
      </c>
      <c r="J102" s="2">
        <f t="shared" si="6"/>
        <v>1.4599999999999795</v>
      </c>
      <c r="K102" s="4">
        <f t="shared" si="7"/>
        <v>12.680000000000007</v>
      </c>
    </row>
    <row r="103" spans="1:11" x14ac:dyDescent="0.35">
      <c r="B103" t="s">
        <v>10</v>
      </c>
      <c r="C103" s="3">
        <f t="shared" si="5"/>
        <v>40.82876701</v>
      </c>
      <c r="D103" s="2">
        <v>161.5</v>
      </c>
      <c r="E103">
        <v>205.73</v>
      </c>
      <c r="F103" s="5">
        <v>170.05</v>
      </c>
      <c r="G103" s="5">
        <v>224.26</v>
      </c>
      <c r="H103" s="5">
        <v>225.75</v>
      </c>
      <c r="I103" s="5">
        <v>217.3</v>
      </c>
      <c r="J103" s="2">
        <f t="shared" si="6"/>
        <v>-44.22999999999999</v>
      </c>
      <c r="K103" s="4">
        <f t="shared" si="7"/>
        <v>-35.679999999999978</v>
      </c>
    </row>
    <row r="104" spans="1:11" x14ac:dyDescent="0.35">
      <c r="B104" t="s">
        <v>11</v>
      </c>
      <c r="C104" s="3">
        <f t="shared" si="5"/>
        <v>7.1747951170000004</v>
      </c>
      <c r="D104" s="2">
        <v>166.5</v>
      </c>
      <c r="E104">
        <v>209.25</v>
      </c>
      <c r="F104" s="5">
        <v>201.57</v>
      </c>
      <c r="G104" s="5">
        <v>317.08</v>
      </c>
      <c r="H104" s="5">
        <v>324.5</v>
      </c>
      <c r="I104" s="5">
        <v>304.33999999999997</v>
      </c>
      <c r="J104" s="2">
        <f t="shared" si="6"/>
        <v>-42.75</v>
      </c>
      <c r="K104" s="4">
        <f t="shared" si="7"/>
        <v>-7.6800000000000068</v>
      </c>
    </row>
    <row r="105" spans="1:11" x14ac:dyDescent="0.35">
      <c r="D105" s="2"/>
    </row>
    <row r="106" spans="1:11" x14ac:dyDescent="0.35">
      <c r="B106" t="s">
        <v>37</v>
      </c>
      <c r="D106" s="4">
        <f t="shared" ref="D106:I106" si="8">AVERAGE(D94:D104)</f>
        <v>251.5</v>
      </c>
      <c r="E106" s="4">
        <f t="shared" si="8"/>
        <v>252.95363636363638</v>
      </c>
      <c r="F106" s="4">
        <f t="shared" si="8"/>
        <v>259.02454545454543</v>
      </c>
      <c r="G106" s="4">
        <f t="shared" si="8"/>
        <v>221.11636363636364</v>
      </c>
      <c r="H106" s="4">
        <f t="shared" si="8"/>
        <v>234.06727272727275</v>
      </c>
      <c r="I106" s="4">
        <f t="shared" si="8"/>
        <v>226.71777777777777</v>
      </c>
    </row>
    <row r="107" spans="1:11" x14ac:dyDescent="0.35">
      <c r="D107" s="4">
        <f>_xlfn.STDEV.P(D94:D104)/SQRT(COUNT(D94:D104))</f>
        <v>23.447765052354431</v>
      </c>
      <c r="E107" s="4">
        <f>_xlfn.STDEV.P(E94:E104)/SQRT(COUNT(E94:E104))</f>
        <v>17.523952169083955</v>
      </c>
      <c r="F107" s="4">
        <f>_xlfn.STDEV.P(F94:F104)/SQRT(COUNT(F94:F104))</f>
        <v>20.345138894441369</v>
      </c>
      <c r="G107" s="4">
        <f>_xlfn.STDEV.P(G94:G104)/SQRT(COUNT(G94:G104))</f>
        <v>12.254107375008044</v>
      </c>
      <c r="H107" s="4">
        <f>_xlfn.STDEV.P(H94:H104)/SQRT(COUNT(H94:H104))</f>
        <v>12.057607597558871</v>
      </c>
      <c r="I107" s="4"/>
    </row>
  </sheetData>
  <autoFilter ref="A45:J45" xr:uid="{00000000-0001-0000-0000-000000000000}">
    <sortState xmlns:xlrd2="http://schemas.microsoft.com/office/spreadsheetml/2017/richdata2" ref="A46:J54">
      <sortCondition ref="D45"/>
    </sortState>
  </autoFilter>
  <conditionalFormatting sqref="B98:B100">
    <cfRule type="duplicateValues" dxfId="1" priority="4"/>
  </conditionalFormatting>
  <conditionalFormatting sqref="B82:B84">
    <cfRule type="duplicateValues" dxfId="0" priority="1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Yuval</dc:creator>
  <cp:lastModifiedBy>samoilov yuval</cp:lastModifiedBy>
  <dcterms:created xsi:type="dcterms:W3CDTF">2015-06-05T18:17:20Z</dcterms:created>
  <dcterms:modified xsi:type="dcterms:W3CDTF">2026-09-09T17:42:22Z</dcterms:modified>
</cp:coreProperties>
</file>